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\4th_year\diploma\audit\"/>
    </mc:Choice>
  </mc:AlternateContent>
  <xr:revisionPtr revIDLastSave="0" documentId="13_ncr:1_{E9F7507D-04A8-45DD-8CD3-74C200BC4F35}" xr6:coauthVersionLast="47" xr6:coauthVersionMax="47" xr10:uidLastSave="{00000000-0000-0000-0000-000000000000}"/>
  <bookViews>
    <workbookView xWindow="-110" yWindow="-110" windowWidth="19420" windowHeight="10300" xr2:uid="{680BEEE3-186F-4042-9BD2-6A333CBF829E}"/>
  </bookViews>
  <sheets>
    <sheet name="Score calculations" sheetId="1" r:id="rId1"/>
    <sheet name="Participants' det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G23" i="1" l="1"/>
  <c r="AS22" i="1"/>
  <c r="AS23" i="1" s="1"/>
  <c r="AC22" i="1"/>
  <c r="AC23" i="1" s="1"/>
  <c r="AD22" i="1"/>
  <c r="AD23" i="1" s="1"/>
  <c r="AE22" i="1"/>
  <c r="AE23" i="1" s="1"/>
  <c r="AF22" i="1"/>
  <c r="AF23" i="1" s="1"/>
  <c r="AG22" i="1"/>
  <c r="AH22" i="1"/>
  <c r="AH23" i="1" s="1"/>
  <c r="AI22" i="1"/>
  <c r="AI23" i="1" s="1"/>
  <c r="AJ22" i="1"/>
  <c r="AJ23" i="1" s="1"/>
  <c r="AK22" i="1"/>
  <c r="AK23" i="1" s="1"/>
  <c r="AL22" i="1"/>
  <c r="AL23" i="1" s="1"/>
  <c r="AM22" i="1"/>
  <c r="AM23" i="1" s="1"/>
  <c r="AN22" i="1"/>
  <c r="AN23" i="1" s="1"/>
  <c r="AO22" i="1"/>
  <c r="AO23" i="1" s="1"/>
  <c r="AP22" i="1"/>
  <c r="AP23" i="1" s="1"/>
  <c r="AQ22" i="1"/>
  <c r="AQ23" i="1" s="1"/>
  <c r="AR22" i="1"/>
  <c r="AR23" i="1" s="1"/>
  <c r="AB22" i="1"/>
  <c r="AB23" i="1" s="1"/>
  <c r="H42" i="1"/>
  <c r="C43" i="1"/>
  <c r="C45" i="1"/>
  <c r="C46" i="1"/>
  <c r="C47" i="1"/>
  <c r="C48" i="1"/>
  <c r="C49" i="1"/>
  <c r="C42" i="1"/>
  <c r="H45" i="1"/>
  <c r="H46" i="1"/>
  <c r="H47" i="1"/>
  <c r="H48" i="1"/>
  <c r="H49" i="1"/>
  <c r="H43" i="1"/>
  <c r="M21" i="1"/>
  <c r="M20" i="1"/>
  <c r="M19" i="1"/>
  <c r="M18" i="1"/>
  <c r="M17" i="1"/>
  <c r="M16" i="1"/>
  <c r="M15" i="1"/>
  <c r="M14" i="1"/>
  <c r="C14" i="1"/>
  <c r="D14" i="1"/>
  <c r="E14" i="1"/>
  <c r="F14" i="1"/>
  <c r="G14" i="1"/>
  <c r="H14" i="1"/>
  <c r="I14" i="1"/>
  <c r="J14" i="1"/>
  <c r="K14" i="1"/>
  <c r="L14" i="1"/>
  <c r="N14" i="1"/>
  <c r="O14" i="1"/>
  <c r="P14" i="1"/>
  <c r="Q14" i="1"/>
  <c r="R14" i="1"/>
  <c r="S14" i="1"/>
  <c r="T14" i="1"/>
  <c r="U14" i="1"/>
  <c r="V14" i="1"/>
  <c r="W14" i="1"/>
  <c r="C15" i="1"/>
  <c r="D15" i="1"/>
  <c r="E15" i="1"/>
  <c r="F15" i="1"/>
  <c r="G15" i="1"/>
  <c r="H15" i="1"/>
  <c r="I15" i="1"/>
  <c r="J15" i="1"/>
  <c r="K15" i="1"/>
  <c r="L15" i="1"/>
  <c r="N15" i="1"/>
  <c r="O15" i="1"/>
  <c r="P15" i="1"/>
  <c r="Q15" i="1"/>
  <c r="R15" i="1"/>
  <c r="S15" i="1"/>
  <c r="T15" i="1"/>
  <c r="U15" i="1"/>
  <c r="V15" i="1"/>
  <c r="W15" i="1"/>
  <c r="C16" i="1"/>
  <c r="D16" i="1"/>
  <c r="E16" i="1"/>
  <c r="F16" i="1"/>
  <c r="G16" i="1"/>
  <c r="H16" i="1"/>
  <c r="I16" i="1"/>
  <c r="J16" i="1"/>
  <c r="K16" i="1"/>
  <c r="L16" i="1"/>
  <c r="N16" i="1"/>
  <c r="O16" i="1"/>
  <c r="P16" i="1"/>
  <c r="Q16" i="1"/>
  <c r="R16" i="1"/>
  <c r="S16" i="1"/>
  <c r="T16" i="1"/>
  <c r="U16" i="1"/>
  <c r="V16" i="1"/>
  <c r="W16" i="1"/>
  <c r="C17" i="1"/>
  <c r="D17" i="1"/>
  <c r="E17" i="1"/>
  <c r="F17" i="1"/>
  <c r="G17" i="1"/>
  <c r="H17" i="1"/>
  <c r="I17" i="1"/>
  <c r="J17" i="1"/>
  <c r="K17" i="1"/>
  <c r="L17" i="1"/>
  <c r="N17" i="1"/>
  <c r="O17" i="1"/>
  <c r="P17" i="1"/>
  <c r="Q17" i="1"/>
  <c r="R17" i="1"/>
  <c r="S17" i="1"/>
  <c r="T17" i="1"/>
  <c r="U17" i="1"/>
  <c r="V17" i="1"/>
  <c r="W17" i="1"/>
  <c r="C18" i="1"/>
  <c r="D18" i="1"/>
  <c r="E18" i="1"/>
  <c r="F18" i="1"/>
  <c r="G18" i="1"/>
  <c r="H18" i="1"/>
  <c r="I18" i="1"/>
  <c r="J18" i="1"/>
  <c r="K18" i="1"/>
  <c r="L18" i="1"/>
  <c r="N18" i="1"/>
  <c r="O18" i="1"/>
  <c r="P18" i="1"/>
  <c r="Q18" i="1"/>
  <c r="R18" i="1"/>
  <c r="S18" i="1"/>
  <c r="T18" i="1"/>
  <c r="U18" i="1"/>
  <c r="V18" i="1"/>
  <c r="W18" i="1"/>
  <c r="C19" i="1"/>
  <c r="D19" i="1"/>
  <c r="E19" i="1"/>
  <c r="F19" i="1"/>
  <c r="G19" i="1"/>
  <c r="H19" i="1"/>
  <c r="I19" i="1"/>
  <c r="J19" i="1"/>
  <c r="K19" i="1"/>
  <c r="L19" i="1"/>
  <c r="N19" i="1"/>
  <c r="O19" i="1"/>
  <c r="P19" i="1"/>
  <c r="Q19" i="1"/>
  <c r="R19" i="1"/>
  <c r="S19" i="1"/>
  <c r="T19" i="1"/>
  <c r="U19" i="1"/>
  <c r="V19" i="1"/>
  <c r="W19" i="1"/>
  <c r="C20" i="1"/>
  <c r="D20" i="1"/>
  <c r="E20" i="1"/>
  <c r="F20" i="1"/>
  <c r="G20" i="1"/>
  <c r="H20" i="1"/>
  <c r="I20" i="1"/>
  <c r="J20" i="1"/>
  <c r="K20" i="1"/>
  <c r="L20" i="1"/>
  <c r="N20" i="1"/>
  <c r="O20" i="1"/>
  <c r="P20" i="1"/>
  <c r="Q20" i="1"/>
  <c r="R20" i="1"/>
  <c r="S20" i="1"/>
  <c r="T20" i="1"/>
  <c r="U20" i="1"/>
  <c r="V20" i="1"/>
  <c r="W20" i="1"/>
  <c r="C21" i="1"/>
  <c r="D21" i="1"/>
  <c r="E21" i="1"/>
  <c r="F21" i="1"/>
  <c r="G21" i="1"/>
  <c r="H21" i="1"/>
  <c r="I21" i="1"/>
  <c r="J21" i="1"/>
  <c r="K21" i="1"/>
  <c r="L21" i="1"/>
  <c r="N21" i="1"/>
  <c r="O21" i="1"/>
  <c r="P21" i="1"/>
  <c r="Q21" i="1"/>
  <c r="R21" i="1"/>
  <c r="S21" i="1"/>
  <c r="T21" i="1"/>
  <c r="U21" i="1"/>
  <c r="V21" i="1"/>
  <c r="W21" i="1"/>
  <c r="B18" i="1"/>
  <c r="B15" i="1"/>
  <c r="B16" i="1"/>
  <c r="B17" i="1"/>
  <c r="B19" i="1"/>
  <c r="B20" i="1"/>
  <c r="B21" i="1"/>
  <c r="B14" i="1"/>
  <c r="J42" i="1"/>
  <c r="J43" i="1"/>
  <c r="J44" i="1"/>
  <c r="J45" i="1"/>
  <c r="J46" i="1"/>
  <c r="J47" i="1"/>
  <c r="J48" i="1"/>
  <c r="I42" i="1"/>
  <c r="I43" i="1"/>
  <c r="I44" i="1"/>
  <c r="I45" i="1"/>
  <c r="I46" i="1"/>
  <c r="I47" i="1"/>
  <c r="I48" i="1"/>
  <c r="G42" i="1"/>
  <c r="G43" i="1"/>
  <c r="G44" i="1"/>
  <c r="G45" i="1"/>
  <c r="G46" i="1"/>
  <c r="G47" i="1"/>
  <c r="G48" i="1"/>
  <c r="J49" i="1"/>
  <c r="I49" i="1"/>
  <c r="G49" i="1"/>
  <c r="AB25" i="1" l="1"/>
  <c r="AB24" i="1"/>
  <c r="AL25" i="1"/>
  <c r="AL24" i="1"/>
  <c r="AG25" i="1"/>
  <c r="AQ25" i="1"/>
  <c r="AQ24" i="1"/>
  <c r="AG24" i="1"/>
  <c r="E22" i="1"/>
  <c r="E23" i="1" s="1"/>
  <c r="I22" i="1"/>
  <c r="I23" i="1" s="1"/>
  <c r="M22" i="1"/>
  <c r="M23" i="1" s="1"/>
  <c r="G22" i="1"/>
  <c r="G23" i="1" s="1"/>
  <c r="V22" i="1"/>
  <c r="V23" i="1" s="1"/>
  <c r="J22" i="1"/>
  <c r="J23" i="1" s="1"/>
  <c r="D22" i="1"/>
  <c r="D23" i="1" s="1"/>
  <c r="S22" i="1"/>
  <c r="S23" i="1" s="1"/>
  <c r="Q22" i="1"/>
  <c r="Q23" i="1" s="1"/>
  <c r="U22" i="1"/>
  <c r="U23" i="1" s="1"/>
  <c r="P22" i="1"/>
  <c r="P23" i="1" s="1"/>
  <c r="W22" i="1"/>
  <c r="W23" i="1" s="1"/>
  <c r="H22" i="1"/>
  <c r="H23" i="1" s="1"/>
  <c r="O22" i="1"/>
  <c r="O23" i="1" s="1"/>
  <c r="N22" i="1"/>
  <c r="N23" i="1" s="1"/>
  <c r="K22" i="1"/>
  <c r="K23" i="1" s="1"/>
  <c r="B22" i="1"/>
  <c r="B23" i="1" s="1"/>
  <c r="F22" i="1"/>
  <c r="F23" i="1" s="1"/>
  <c r="C22" i="1"/>
  <c r="C23" i="1" s="1"/>
  <c r="R22" i="1"/>
  <c r="R23" i="1" s="1"/>
  <c r="T22" i="1"/>
  <c r="T23" i="1" s="1"/>
  <c r="L22" i="1"/>
  <c r="L23" i="1" s="1"/>
  <c r="D42" i="1"/>
  <c r="E47" i="1"/>
  <c r="E48" i="1"/>
  <c r="E49" i="1"/>
  <c r="D47" i="1"/>
  <c r="D48" i="1"/>
  <c r="D49" i="1"/>
  <c r="B48" i="1"/>
  <c r="B49" i="1"/>
  <c r="B47" i="1"/>
  <c r="E46" i="1"/>
  <c r="D46" i="1"/>
  <c r="B46" i="1"/>
  <c r="E45" i="1"/>
  <c r="D45" i="1"/>
  <c r="B45" i="1"/>
  <c r="E44" i="1"/>
  <c r="D44" i="1"/>
  <c r="B44" i="1"/>
  <c r="E43" i="1"/>
  <c r="D43" i="1"/>
  <c r="B43" i="1"/>
  <c r="N24" i="1" l="1"/>
  <c r="B24" i="1"/>
  <c r="T25" i="1"/>
  <c r="T24" i="1"/>
  <c r="N25" i="1"/>
  <c r="B25" i="1"/>
  <c r="H25" i="1"/>
  <c r="H24" i="1"/>
  <c r="C50" i="1"/>
  <c r="D50" i="1"/>
  <c r="E50" i="1"/>
  <c r="B50" i="1"/>
</calcChain>
</file>

<file path=xl/sharedStrings.xml><?xml version="1.0" encoding="utf-8"?>
<sst xmlns="http://schemas.openxmlformats.org/spreadsheetml/2006/main" count="175" uniqueCount="67">
  <si>
    <t>Silpo</t>
  </si>
  <si>
    <t>Glovo</t>
  </si>
  <si>
    <t>Zakaz.ua</t>
  </si>
  <si>
    <t>For a</t>
  </si>
  <si>
    <t>P1</t>
  </si>
  <si>
    <t>P2</t>
  </si>
  <si>
    <t>P3</t>
  </si>
  <si>
    <t>P4</t>
  </si>
  <si>
    <t>P5</t>
  </si>
  <si>
    <t>P6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</si>
  <si>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Aptos"/>
        <family val="2"/>
      </rPr>
      <t xml:space="preserve">Я міг(могла) б користуватися цим застосунком самостійно для замовлення продуктів. 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</si>
  <si>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Aptos"/>
        <family val="2"/>
      </rPr>
      <t xml:space="preserve">Основні функції застосунку були зрозумілими та доступними для мене. 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</si>
  <si>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Aptos"/>
        <family val="2"/>
      </rPr>
      <t xml:space="preserve">Щоб користуватися цим застосунком, мені не знадобилася б стороння допомога. 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</si>
  <si>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Aptos"/>
        <family val="2"/>
      </rPr>
      <t xml:space="preserve">Навігація в застосунку була достатньо послідовною та передбачуваною. 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</si>
  <si>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Aptos"/>
        <family val="2"/>
      </rPr>
      <t xml:space="preserve">У застосунку було багато моментів, які викликали розгубленість або невпевненість. </t>
    </r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</si>
  <si>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Aptos"/>
        <family val="2"/>
      </rPr>
      <t xml:space="preserve">Я вважаю, що більшість користувачів із втратою зору змогли б навчитися користуватися цим застосунком. </t>
    </r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</si>
  <si>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Aptos"/>
        <family val="2"/>
      </rPr>
      <t xml:space="preserve">Я почувався(почувалася) впевнено під час взаємодії із застосунком. </t>
    </r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</si>
  <si>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Aptos"/>
        <family val="2"/>
      </rPr>
      <t>Перед початком реального використання мені потрібно було б додатково звикати до цього застосунку.</t>
    </r>
  </si>
  <si>
    <t>Fora</t>
  </si>
  <si>
    <t>Registration</t>
  </si>
  <si>
    <t>Delivery address</t>
  </si>
  <si>
    <t>Delivery time</t>
  </si>
  <si>
    <t>Product search</t>
  </si>
  <si>
    <t>Product amount manipulation</t>
  </si>
  <si>
    <t>Cart</t>
  </si>
  <si>
    <t>products in Cart manipulation</t>
  </si>
  <si>
    <t>Order confirmation</t>
  </si>
  <si>
    <t>Zakaz</t>
  </si>
  <si>
    <t>Flow</t>
  </si>
  <si>
    <t>Gender</t>
  </si>
  <si>
    <t>F</t>
  </si>
  <si>
    <t>M</t>
  </si>
  <si>
    <t>Confident user</t>
  </si>
  <si>
    <t>Screen reader mastery</t>
  </si>
  <si>
    <t>Expert</t>
  </si>
  <si>
    <t>Phone OS</t>
  </si>
  <si>
    <t>Model</t>
  </si>
  <si>
    <t>Android</t>
  </si>
  <si>
    <t>iOS</t>
  </si>
  <si>
    <t>Used screen reader</t>
  </si>
  <si>
    <t>iOS VoiceOver</t>
  </si>
  <si>
    <t>Jieshuo</t>
  </si>
  <si>
    <t>Google Pixel</t>
  </si>
  <si>
    <t>Samsung S 24</t>
  </si>
  <si>
    <t>Motorolla Edge 5 neo</t>
  </si>
  <si>
    <t>Motorolla G 32</t>
  </si>
  <si>
    <t>iPhone 15</t>
  </si>
  <si>
    <t>Mi 9 light</t>
  </si>
  <si>
    <t>Used tested apps before</t>
  </si>
  <si>
    <t>Yes, Glovo, Silpo</t>
  </si>
  <si>
    <t>Yes, Glovo, Zakaz in web</t>
  </si>
  <si>
    <t>No</t>
  </si>
  <si>
    <t>Yes, Glovo</t>
  </si>
  <si>
    <t>Average SEQ</t>
  </si>
  <si>
    <t>Standart Deviation SEQ</t>
  </si>
  <si>
    <t>Usability %</t>
  </si>
  <si>
    <t xml:space="preserve">Total SUS </t>
  </si>
  <si>
    <t>Standart deviation</t>
  </si>
  <si>
    <t>Address</t>
  </si>
  <si>
    <t>SUS results Excluding iOS participant case</t>
  </si>
  <si>
    <t>General characteristics of participants</t>
  </si>
  <si>
    <t>Android TalkBack</t>
  </si>
  <si>
    <t>Average usability rate</t>
  </si>
  <si>
    <t>SUS initial results</t>
  </si>
  <si>
    <t>SUS calculation</t>
  </si>
  <si>
    <t>SEQ survey results</t>
  </si>
  <si>
    <t>Statements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</si>
</sst>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.5"/>
      <color theme="1"/>
      <name val="Aptos"/>
      <family val="2"/>
    </font>
    <font>
      <sz val="7"/>
      <color theme="1"/>
      <name val="Times New Roman"/>
      <family val="1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 applyAlignment="1">
      <alignment horizontal="left" vertical="center" indent="2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2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right"/>
    </xf>
    <xf numFmtId="0" fontId="0" fillId="0" borderId="3" xfId="0" applyBorder="1"/>
    <xf numFmtId="0" fontId="0" fillId="0" borderId="1" xfId="0" applyBorder="1"/>
    <xf numFmtId="0" fontId="0" fillId="0" borderId="2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0" fillId="0" borderId="0" xfId="0" applyBorder="1"/>
    <xf numFmtId="0" fontId="0" fillId="0" borderId="0" xfId="0" applyBorder="1" applyAlignment="1"/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5" xfId="0" applyFill="1" applyBorder="1"/>
    <xf numFmtId="0" fontId="0" fillId="0" borderId="0" xfId="0" applyFill="1" applyBorder="1"/>
    <xf numFmtId="0" fontId="0" fillId="0" borderId="4" xfId="0" applyFill="1" applyBorder="1"/>
    <xf numFmtId="0" fontId="0" fillId="0" borderId="8" xfId="0" applyFill="1" applyBorder="1"/>
    <xf numFmtId="0" fontId="0" fillId="0" borderId="6" xfId="0" applyFill="1" applyBorder="1"/>
    <xf numFmtId="0" fontId="0" fillId="0" borderId="7" xfId="0" applyFill="1" applyBorder="1"/>
    <xf numFmtId="0" fontId="1" fillId="0" borderId="0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Border="1"/>
    <xf numFmtId="0" fontId="0" fillId="0" borderId="0" xfId="0" applyBorder="1" applyAlignment="1"/>
    <xf numFmtId="0" fontId="7" fillId="0" borderId="6" xfId="0" applyFont="1" applyBorder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D84E0D7-7339-409F-931E-0CFEFA204F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39D1E-87DD-40A5-8F1D-A33E0B2EE173}">
  <dimension ref="A1:AS60"/>
  <sheetViews>
    <sheetView tabSelected="1" topLeftCell="L1" zoomScale="53" zoomScaleNormal="115" workbookViewId="0">
      <selection activeCell="AA14" sqref="AA14"/>
    </sheetView>
  </sheetViews>
  <sheetFormatPr defaultRowHeight="14.5" x14ac:dyDescent="0.35"/>
  <cols>
    <col min="1" max="1" width="113" customWidth="1"/>
    <col min="4" max="4" width="9.54296875" bestFit="1" customWidth="1"/>
    <col min="8" max="8" width="10" customWidth="1"/>
    <col min="27" max="27" width="19.81640625" customWidth="1"/>
  </cols>
  <sheetData>
    <row r="1" spans="1:45" ht="24" customHeight="1" x14ac:dyDescent="0.35">
      <c r="B1" s="55" t="s">
        <v>63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39"/>
      <c r="Y1" s="39"/>
    </row>
    <row r="2" spans="1:45" x14ac:dyDescent="0.35">
      <c r="B2" s="19" t="s">
        <v>0</v>
      </c>
      <c r="C2" s="19"/>
      <c r="D2" s="19"/>
      <c r="E2" s="19"/>
      <c r="F2" s="19"/>
      <c r="G2" s="20"/>
      <c r="H2" s="21" t="s">
        <v>1</v>
      </c>
      <c r="I2" s="19"/>
      <c r="J2" s="19"/>
      <c r="K2" s="19"/>
      <c r="L2" s="19"/>
      <c r="M2" s="20"/>
      <c r="N2" s="21" t="s">
        <v>2</v>
      </c>
      <c r="O2" s="19"/>
      <c r="P2" s="19"/>
      <c r="Q2" s="19"/>
      <c r="R2" s="19"/>
      <c r="S2" s="20"/>
      <c r="T2" s="21" t="s">
        <v>18</v>
      </c>
      <c r="U2" s="19"/>
      <c r="V2" s="19"/>
      <c r="W2" s="20"/>
      <c r="X2" s="29"/>
      <c r="Y2" s="29"/>
    </row>
    <row r="3" spans="1:45" x14ac:dyDescent="0.35">
      <c r="A3" s="56" t="s">
        <v>66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s="1" t="s">
        <v>9</v>
      </c>
      <c r="H3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t="s">
        <v>4</v>
      </c>
      <c r="O3" t="s">
        <v>5</v>
      </c>
      <c r="P3" t="s">
        <v>6</v>
      </c>
      <c r="Q3" t="s">
        <v>7</v>
      </c>
      <c r="R3" t="s">
        <v>8</v>
      </c>
      <c r="S3" s="1" t="s">
        <v>9</v>
      </c>
      <c r="T3" t="s">
        <v>4</v>
      </c>
      <c r="U3" t="s">
        <v>5</v>
      </c>
      <c r="V3" t="s">
        <v>6</v>
      </c>
      <c r="W3" s="1" t="s">
        <v>9</v>
      </c>
      <c r="Y3" s="28"/>
      <c r="Z3" s="28"/>
    </row>
    <row r="4" spans="1:45" x14ac:dyDescent="0.35">
      <c r="A4" s="6" t="s">
        <v>10</v>
      </c>
      <c r="B4">
        <v>5</v>
      </c>
      <c r="C4">
        <v>5</v>
      </c>
      <c r="D4">
        <v>4</v>
      </c>
      <c r="E4">
        <v>4</v>
      </c>
      <c r="F4">
        <v>5</v>
      </c>
      <c r="G4" s="1">
        <v>3</v>
      </c>
      <c r="H4" s="2">
        <v>4</v>
      </c>
      <c r="I4">
        <v>4</v>
      </c>
      <c r="J4">
        <v>4</v>
      </c>
      <c r="K4">
        <v>4</v>
      </c>
      <c r="L4">
        <v>3</v>
      </c>
      <c r="M4">
        <v>4</v>
      </c>
      <c r="N4" s="2">
        <v>5</v>
      </c>
      <c r="O4">
        <v>2</v>
      </c>
      <c r="P4">
        <v>5</v>
      </c>
      <c r="Q4">
        <v>1</v>
      </c>
      <c r="R4">
        <v>5</v>
      </c>
      <c r="S4" s="1">
        <v>5</v>
      </c>
      <c r="T4" s="2">
        <v>5</v>
      </c>
      <c r="U4">
        <v>4</v>
      </c>
      <c r="V4">
        <v>5</v>
      </c>
      <c r="W4" s="1">
        <v>4</v>
      </c>
      <c r="Y4" s="28"/>
      <c r="Z4" s="28"/>
    </row>
    <row r="5" spans="1:45" x14ac:dyDescent="0.35">
      <c r="A5" s="6" t="s">
        <v>11</v>
      </c>
      <c r="B5">
        <v>5</v>
      </c>
      <c r="C5">
        <v>5</v>
      </c>
      <c r="D5">
        <v>1</v>
      </c>
      <c r="E5">
        <v>4</v>
      </c>
      <c r="F5">
        <v>3</v>
      </c>
      <c r="G5" s="1">
        <v>4</v>
      </c>
      <c r="H5" s="2">
        <v>4</v>
      </c>
      <c r="I5">
        <v>5</v>
      </c>
      <c r="J5">
        <v>4</v>
      </c>
      <c r="K5">
        <v>4</v>
      </c>
      <c r="L5">
        <v>4</v>
      </c>
      <c r="M5">
        <v>4</v>
      </c>
      <c r="N5" s="2">
        <v>3</v>
      </c>
      <c r="O5">
        <v>3</v>
      </c>
      <c r="P5">
        <v>5</v>
      </c>
      <c r="Q5">
        <v>4</v>
      </c>
      <c r="R5">
        <v>3</v>
      </c>
      <c r="S5" s="1">
        <v>5</v>
      </c>
      <c r="T5" s="2">
        <v>5</v>
      </c>
      <c r="U5">
        <v>2</v>
      </c>
      <c r="V5">
        <v>4</v>
      </c>
      <c r="W5" s="1">
        <v>5</v>
      </c>
      <c r="Y5" s="28"/>
      <c r="Z5" s="28"/>
    </row>
    <row r="6" spans="1:45" x14ac:dyDescent="0.35">
      <c r="A6" s="6" t="s">
        <v>12</v>
      </c>
      <c r="B6">
        <v>4</v>
      </c>
      <c r="C6">
        <v>4</v>
      </c>
      <c r="D6">
        <v>2</v>
      </c>
      <c r="E6">
        <v>4</v>
      </c>
      <c r="F6">
        <v>5</v>
      </c>
      <c r="G6" s="1">
        <v>3</v>
      </c>
      <c r="H6" s="2">
        <v>5</v>
      </c>
      <c r="I6">
        <v>3</v>
      </c>
      <c r="J6">
        <v>4</v>
      </c>
      <c r="K6">
        <v>4</v>
      </c>
      <c r="L6">
        <v>3</v>
      </c>
      <c r="M6">
        <v>5</v>
      </c>
      <c r="N6" s="2">
        <v>5</v>
      </c>
      <c r="O6">
        <v>1</v>
      </c>
      <c r="P6">
        <v>5</v>
      </c>
      <c r="Q6">
        <v>4</v>
      </c>
      <c r="R6">
        <v>5</v>
      </c>
      <c r="S6" s="1">
        <v>5</v>
      </c>
      <c r="T6" s="2">
        <v>5</v>
      </c>
      <c r="U6">
        <v>1</v>
      </c>
      <c r="V6">
        <v>4</v>
      </c>
      <c r="W6" s="1">
        <v>4</v>
      </c>
      <c r="Y6" s="28"/>
      <c r="Z6" s="28"/>
    </row>
    <row r="7" spans="1:45" x14ac:dyDescent="0.35">
      <c r="A7" s="6" t="s">
        <v>13</v>
      </c>
      <c r="B7">
        <v>5</v>
      </c>
      <c r="C7">
        <v>5</v>
      </c>
      <c r="D7">
        <v>3</v>
      </c>
      <c r="E7">
        <v>5</v>
      </c>
      <c r="F7">
        <v>4</v>
      </c>
      <c r="G7" s="1">
        <v>4</v>
      </c>
      <c r="H7" s="2">
        <v>2</v>
      </c>
      <c r="I7">
        <v>5</v>
      </c>
      <c r="J7">
        <v>3</v>
      </c>
      <c r="K7">
        <v>3</v>
      </c>
      <c r="L7">
        <v>4</v>
      </c>
      <c r="M7">
        <v>3</v>
      </c>
      <c r="N7" s="2">
        <v>2</v>
      </c>
      <c r="O7">
        <v>3</v>
      </c>
      <c r="P7">
        <v>5</v>
      </c>
      <c r="Q7">
        <v>4</v>
      </c>
      <c r="R7">
        <v>3</v>
      </c>
      <c r="S7" s="1">
        <v>4</v>
      </c>
      <c r="T7" s="2">
        <v>5</v>
      </c>
      <c r="U7">
        <v>3</v>
      </c>
      <c r="V7">
        <v>5</v>
      </c>
      <c r="W7" s="1">
        <v>4</v>
      </c>
      <c r="Y7" s="28"/>
      <c r="Z7" s="28"/>
    </row>
    <row r="8" spans="1:45" x14ac:dyDescent="0.35">
      <c r="A8" s="6" t="s">
        <v>14</v>
      </c>
      <c r="B8">
        <v>2</v>
      </c>
      <c r="C8">
        <v>2</v>
      </c>
      <c r="D8">
        <v>3</v>
      </c>
      <c r="E8">
        <v>2</v>
      </c>
      <c r="F8">
        <v>2</v>
      </c>
      <c r="G8" s="1">
        <v>3</v>
      </c>
      <c r="H8" s="2">
        <v>3</v>
      </c>
      <c r="I8">
        <v>2</v>
      </c>
      <c r="J8">
        <v>3</v>
      </c>
      <c r="K8">
        <v>4</v>
      </c>
      <c r="L8">
        <v>3</v>
      </c>
      <c r="M8">
        <v>4</v>
      </c>
      <c r="N8" s="2">
        <v>5</v>
      </c>
      <c r="O8">
        <v>5</v>
      </c>
      <c r="P8">
        <v>1</v>
      </c>
      <c r="Q8">
        <v>2</v>
      </c>
      <c r="R8">
        <v>2</v>
      </c>
      <c r="S8" s="1">
        <v>1</v>
      </c>
      <c r="T8" s="2">
        <v>1</v>
      </c>
      <c r="U8">
        <v>4</v>
      </c>
      <c r="V8">
        <v>2</v>
      </c>
      <c r="W8" s="1">
        <v>2</v>
      </c>
      <c r="Y8" s="28"/>
      <c r="Z8" s="28"/>
    </row>
    <row r="9" spans="1:45" x14ac:dyDescent="0.35">
      <c r="A9" s="6" t="s">
        <v>15</v>
      </c>
      <c r="B9">
        <v>5</v>
      </c>
      <c r="C9">
        <v>5</v>
      </c>
      <c r="D9">
        <v>2</v>
      </c>
      <c r="E9">
        <v>4</v>
      </c>
      <c r="F9">
        <v>4</v>
      </c>
      <c r="G9" s="1">
        <v>4</v>
      </c>
      <c r="H9" s="2">
        <v>4</v>
      </c>
      <c r="I9">
        <v>5</v>
      </c>
      <c r="J9">
        <v>3</v>
      </c>
      <c r="K9">
        <v>4</v>
      </c>
      <c r="L9">
        <v>4</v>
      </c>
      <c r="M9">
        <v>5</v>
      </c>
      <c r="N9" s="2">
        <v>3</v>
      </c>
      <c r="O9">
        <v>4</v>
      </c>
      <c r="P9">
        <v>4</v>
      </c>
      <c r="Q9">
        <v>4</v>
      </c>
      <c r="R9">
        <v>3</v>
      </c>
      <c r="S9" s="1">
        <v>5</v>
      </c>
      <c r="T9" s="2">
        <v>5</v>
      </c>
      <c r="U9">
        <v>4</v>
      </c>
      <c r="V9">
        <v>4</v>
      </c>
      <c r="W9" s="1">
        <v>4</v>
      </c>
      <c r="Y9" s="28"/>
      <c r="Z9" s="28"/>
    </row>
    <row r="10" spans="1:45" x14ac:dyDescent="0.35">
      <c r="A10" s="6" t="s">
        <v>16</v>
      </c>
      <c r="B10">
        <v>5</v>
      </c>
      <c r="C10">
        <v>5</v>
      </c>
      <c r="D10">
        <v>3</v>
      </c>
      <c r="E10">
        <v>5</v>
      </c>
      <c r="F10">
        <v>5</v>
      </c>
      <c r="G10" s="1">
        <v>3</v>
      </c>
      <c r="H10" s="2">
        <v>2</v>
      </c>
      <c r="I10">
        <v>4</v>
      </c>
      <c r="J10">
        <v>4</v>
      </c>
      <c r="K10">
        <v>3</v>
      </c>
      <c r="L10">
        <v>3</v>
      </c>
      <c r="M10">
        <v>4</v>
      </c>
      <c r="N10" s="2">
        <v>4</v>
      </c>
      <c r="O10">
        <v>2</v>
      </c>
      <c r="P10">
        <v>5</v>
      </c>
      <c r="Q10">
        <v>4</v>
      </c>
      <c r="R10">
        <v>3</v>
      </c>
      <c r="S10" s="1">
        <v>4</v>
      </c>
      <c r="T10" s="2">
        <v>5</v>
      </c>
      <c r="U10">
        <v>3</v>
      </c>
      <c r="V10">
        <v>5</v>
      </c>
      <c r="W10" s="1">
        <v>4</v>
      </c>
      <c r="Y10" s="28"/>
      <c r="Z10" s="28"/>
    </row>
    <row r="11" spans="1:45" ht="16" x14ac:dyDescent="0.35">
      <c r="A11" s="6" t="s">
        <v>17</v>
      </c>
      <c r="B11" s="3">
        <v>1</v>
      </c>
      <c r="C11" s="3">
        <v>2</v>
      </c>
      <c r="D11" s="3">
        <v>4</v>
      </c>
      <c r="E11" s="3">
        <v>2</v>
      </c>
      <c r="F11" s="3">
        <v>3</v>
      </c>
      <c r="G11" s="4">
        <v>5</v>
      </c>
      <c r="H11" s="5">
        <v>2</v>
      </c>
      <c r="I11" s="3">
        <v>3</v>
      </c>
      <c r="J11" s="3">
        <v>5</v>
      </c>
      <c r="K11" s="3">
        <v>5</v>
      </c>
      <c r="L11" s="3">
        <v>5</v>
      </c>
      <c r="M11" s="3">
        <v>4</v>
      </c>
      <c r="N11" s="5">
        <v>4</v>
      </c>
      <c r="O11" s="3">
        <v>5</v>
      </c>
      <c r="P11" s="3">
        <v>1</v>
      </c>
      <c r="Q11" s="3">
        <v>4</v>
      </c>
      <c r="R11" s="3">
        <v>1</v>
      </c>
      <c r="S11" s="4">
        <v>1</v>
      </c>
      <c r="T11" s="5">
        <v>1</v>
      </c>
      <c r="U11" s="3">
        <v>5</v>
      </c>
      <c r="V11" s="3">
        <v>1</v>
      </c>
      <c r="W11" s="4">
        <v>3</v>
      </c>
      <c r="X11" s="28"/>
      <c r="Y11" s="28"/>
      <c r="Z11" s="28"/>
      <c r="AB11" s="40" t="s">
        <v>59</v>
      </c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</row>
    <row r="12" spans="1:45" ht="27.5" customHeight="1" x14ac:dyDescent="0.35">
      <c r="A12" s="6"/>
      <c r="B12" s="54" t="s">
        <v>64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28"/>
      <c r="Y12" s="28"/>
      <c r="Z12" s="28"/>
      <c r="AB12" s="41" t="s">
        <v>0</v>
      </c>
      <c r="AC12" s="41"/>
      <c r="AD12" s="41"/>
      <c r="AE12" s="41"/>
      <c r="AF12" s="41"/>
      <c r="AG12" s="41" t="s">
        <v>1</v>
      </c>
      <c r="AH12" s="41"/>
      <c r="AI12" s="41"/>
      <c r="AJ12" s="41"/>
      <c r="AK12" s="41"/>
      <c r="AL12" s="41" t="s">
        <v>2</v>
      </c>
      <c r="AM12" s="41"/>
      <c r="AN12" s="41"/>
      <c r="AO12" s="41"/>
      <c r="AP12" s="41"/>
      <c r="AQ12" s="41" t="s">
        <v>18</v>
      </c>
      <c r="AR12" s="41"/>
      <c r="AS12" s="41"/>
    </row>
    <row r="13" spans="1:45" x14ac:dyDescent="0.35">
      <c r="B13" s="21" t="s">
        <v>0</v>
      </c>
      <c r="C13" s="19"/>
      <c r="D13" s="19"/>
      <c r="E13" s="19"/>
      <c r="F13" s="19"/>
      <c r="G13" s="20"/>
      <c r="H13" s="21" t="s">
        <v>1</v>
      </c>
      <c r="I13" s="19"/>
      <c r="J13" s="19"/>
      <c r="K13" s="19"/>
      <c r="L13" s="19"/>
      <c r="M13" s="20"/>
      <c r="N13" s="31" t="s">
        <v>2</v>
      </c>
      <c r="O13" s="30"/>
      <c r="P13" s="30"/>
      <c r="Q13" s="30"/>
      <c r="R13" s="30"/>
      <c r="S13" s="32"/>
      <c r="T13" s="21" t="s">
        <v>18</v>
      </c>
      <c r="U13" s="19"/>
      <c r="V13" s="19"/>
      <c r="W13" s="20"/>
      <c r="X13" s="29"/>
      <c r="Y13" s="29"/>
      <c r="AB13" s="13" t="s">
        <v>4</v>
      </c>
      <c r="AC13" s="14" t="s">
        <v>6</v>
      </c>
      <c r="AD13" s="14" t="s">
        <v>7</v>
      </c>
      <c r="AE13" s="14" t="s">
        <v>8</v>
      </c>
      <c r="AF13" s="15" t="s">
        <v>9</v>
      </c>
      <c r="AG13" s="13" t="s">
        <v>4</v>
      </c>
      <c r="AH13" s="14" t="s">
        <v>6</v>
      </c>
      <c r="AI13" s="14" t="s">
        <v>7</v>
      </c>
      <c r="AJ13" s="14" t="s">
        <v>8</v>
      </c>
      <c r="AK13" s="15" t="s">
        <v>9</v>
      </c>
      <c r="AL13" s="13" t="s">
        <v>4</v>
      </c>
      <c r="AM13" s="14" t="s">
        <v>6</v>
      </c>
      <c r="AN13" s="14" t="s">
        <v>7</v>
      </c>
      <c r="AO13" s="14" t="s">
        <v>8</v>
      </c>
      <c r="AP13" s="15" t="s">
        <v>9</v>
      </c>
      <c r="AQ13" s="13" t="s">
        <v>4</v>
      </c>
      <c r="AR13" s="14" t="s">
        <v>6</v>
      </c>
      <c r="AS13" s="15" t="s">
        <v>9</v>
      </c>
    </row>
    <row r="14" spans="1:45" x14ac:dyDescent="0.35">
      <c r="B14" s="2">
        <f>B4-1</f>
        <v>4</v>
      </c>
      <c r="C14" s="28">
        <f t="shared" ref="C14:W14" si="0">C4-1</f>
        <v>4</v>
      </c>
      <c r="D14" s="28">
        <f t="shared" si="0"/>
        <v>3</v>
      </c>
      <c r="E14" s="28">
        <f t="shared" si="0"/>
        <v>3</v>
      </c>
      <c r="F14" s="28">
        <f t="shared" si="0"/>
        <v>4</v>
      </c>
      <c r="G14" s="1">
        <f t="shared" si="0"/>
        <v>2</v>
      </c>
      <c r="H14" s="2">
        <f t="shared" si="0"/>
        <v>3</v>
      </c>
      <c r="I14" s="28">
        <f t="shared" si="0"/>
        <v>3</v>
      </c>
      <c r="J14" s="28">
        <f t="shared" si="0"/>
        <v>3</v>
      </c>
      <c r="K14" s="28">
        <f t="shared" si="0"/>
        <v>3</v>
      </c>
      <c r="L14" s="28">
        <f t="shared" si="0"/>
        <v>2</v>
      </c>
      <c r="M14" s="1">
        <f t="shared" ref="M14" si="1">M4-1</f>
        <v>3</v>
      </c>
      <c r="N14" s="33">
        <f t="shared" si="0"/>
        <v>4</v>
      </c>
      <c r="O14" s="34">
        <f t="shared" si="0"/>
        <v>1</v>
      </c>
      <c r="P14" s="34">
        <f t="shared" si="0"/>
        <v>4</v>
      </c>
      <c r="Q14" s="34">
        <f t="shared" si="0"/>
        <v>0</v>
      </c>
      <c r="R14" s="34">
        <f t="shared" si="0"/>
        <v>4</v>
      </c>
      <c r="S14" s="35">
        <f t="shared" si="0"/>
        <v>4</v>
      </c>
      <c r="T14" s="2">
        <f t="shared" si="0"/>
        <v>4</v>
      </c>
      <c r="U14" s="28">
        <f t="shared" si="0"/>
        <v>3</v>
      </c>
      <c r="V14" s="28">
        <f t="shared" si="0"/>
        <v>4</v>
      </c>
      <c r="W14" s="1">
        <f t="shared" si="0"/>
        <v>3</v>
      </c>
      <c r="AB14" s="2">
        <v>4</v>
      </c>
      <c r="AC14">
        <v>3</v>
      </c>
      <c r="AD14">
        <v>3</v>
      </c>
      <c r="AE14">
        <v>4</v>
      </c>
      <c r="AF14" s="1">
        <v>2</v>
      </c>
      <c r="AG14" s="2">
        <v>3</v>
      </c>
      <c r="AH14">
        <v>3</v>
      </c>
      <c r="AI14">
        <v>3</v>
      </c>
      <c r="AJ14">
        <v>2</v>
      </c>
      <c r="AK14" s="1">
        <v>3</v>
      </c>
      <c r="AL14" s="2">
        <v>4</v>
      </c>
      <c r="AM14">
        <v>4</v>
      </c>
      <c r="AN14">
        <v>0</v>
      </c>
      <c r="AO14">
        <v>4</v>
      </c>
      <c r="AP14" s="1">
        <v>4</v>
      </c>
      <c r="AQ14" s="2">
        <v>4</v>
      </c>
      <c r="AR14">
        <v>4</v>
      </c>
      <c r="AS14" s="1">
        <v>3</v>
      </c>
    </row>
    <row r="15" spans="1:45" x14ac:dyDescent="0.35">
      <c r="B15" s="2">
        <f>B5-1</f>
        <v>4</v>
      </c>
      <c r="C15" s="28">
        <f>C5-1</f>
        <v>4</v>
      </c>
      <c r="D15" s="28">
        <f>D5-1</f>
        <v>0</v>
      </c>
      <c r="E15" s="28">
        <f>E5-1</f>
        <v>3</v>
      </c>
      <c r="F15" s="28">
        <f>F5-1</f>
        <v>2</v>
      </c>
      <c r="G15" s="1">
        <f>G5-1</f>
        <v>3</v>
      </c>
      <c r="H15" s="2">
        <f>H5-1</f>
        <v>3</v>
      </c>
      <c r="I15" s="28">
        <f>I5-1</f>
        <v>4</v>
      </c>
      <c r="J15" s="28">
        <f>J5-1</f>
        <v>3</v>
      </c>
      <c r="K15" s="28">
        <f>K5-1</f>
        <v>3</v>
      </c>
      <c r="L15" s="28">
        <f>L5-1</f>
        <v>3</v>
      </c>
      <c r="M15" s="1">
        <f t="shared" ref="M15" si="2">M5-1</f>
        <v>3</v>
      </c>
      <c r="N15" s="33">
        <f>N5-1</f>
        <v>2</v>
      </c>
      <c r="O15" s="34">
        <f>O5-1</f>
        <v>2</v>
      </c>
      <c r="P15" s="34">
        <f>P5-1</f>
        <v>4</v>
      </c>
      <c r="Q15" s="34">
        <f>Q5-1</f>
        <v>3</v>
      </c>
      <c r="R15" s="34">
        <f t="shared" ref="R15:W15" si="3">R5-1</f>
        <v>2</v>
      </c>
      <c r="S15" s="35">
        <f t="shared" si="3"/>
        <v>4</v>
      </c>
      <c r="T15" s="2">
        <f t="shared" si="3"/>
        <v>4</v>
      </c>
      <c r="U15" s="28">
        <f t="shared" si="3"/>
        <v>1</v>
      </c>
      <c r="V15" s="28">
        <f t="shared" si="3"/>
        <v>3</v>
      </c>
      <c r="W15" s="1">
        <f t="shared" si="3"/>
        <v>4</v>
      </c>
      <c r="AB15" s="2">
        <v>4</v>
      </c>
      <c r="AC15">
        <v>0</v>
      </c>
      <c r="AD15">
        <v>3</v>
      </c>
      <c r="AE15">
        <v>2</v>
      </c>
      <c r="AF15" s="1">
        <v>3</v>
      </c>
      <c r="AG15" s="2">
        <v>3</v>
      </c>
      <c r="AH15">
        <v>3</v>
      </c>
      <c r="AI15">
        <v>3</v>
      </c>
      <c r="AJ15">
        <v>3</v>
      </c>
      <c r="AK15" s="1">
        <v>3</v>
      </c>
      <c r="AL15" s="2">
        <v>2</v>
      </c>
      <c r="AM15">
        <v>4</v>
      </c>
      <c r="AN15">
        <v>3</v>
      </c>
      <c r="AO15">
        <v>2</v>
      </c>
      <c r="AP15" s="1">
        <v>4</v>
      </c>
      <c r="AQ15" s="2">
        <v>4</v>
      </c>
      <c r="AR15">
        <v>3</v>
      </c>
      <c r="AS15" s="1">
        <v>4</v>
      </c>
    </row>
    <row r="16" spans="1:45" x14ac:dyDescent="0.35">
      <c r="B16" s="2">
        <f>B6-1</f>
        <v>3</v>
      </c>
      <c r="C16" s="28">
        <f>C6-1</f>
        <v>3</v>
      </c>
      <c r="D16" s="28">
        <f>D6-1</f>
        <v>1</v>
      </c>
      <c r="E16" s="28">
        <f>E6-1</f>
        <v>3</v>
      </c>
      <c r="F16" s="28">
        <f>F6-1</f>
        <v>4</v>
      </c>
      <c r="G16" s="1">
        <f>G6-1</f>
        <v>2</v>
      </c>
      <c r="H16" s="2">
        <f>H6-1</f>
        <v>4</v>
      </c>
      <c r="I16" s="28">
        <f>I6-1</f>
        <v>2</v>
      </c>
      <c r="J16" s="28">
        <f>J6-1</f>
        <v>3</v>
      </c>
      <c r="K16" s="28">
        <f>K6-1</f>
        <v>3</v>
      </c>
      <c r="L16" s="28">
        <f>L6-1</f>
        <v>2</v>
      </c>
      <c r="M16" s="1">
        <f t="shared" ref="M16" si="4">M6-1</f>
        <v>4</v>
      </c>
      <c r="N16" s="33">
        <f>N6-1</f>
        <v>4</v>
      </c>
      <c r="O16" s="34">
        <f>O6-1</f>
        <v>0</v>
      </c>
      <c r="P16" s="34">
        <f>P6-1</f>
        <v>4</v>
      </c>
      <c r="Q16" s="34">
        <f>Q6-1</f>
        <v>3</v>
      </c>
      <c r="R16" s="34">
        <f t="shared" ref="R16:W16" si="5">R6-1</f>
        <v>4</v>
      </c>
      <c r="S16" s="35">
        <f t="shared" si="5"/>
        <v>4</v>
      </c>
      <c r="T16" s="2">
        <f t="shared" si="5"/>
        <v>4</v>
      </c>
      <c r="U16" s="28">
        <f t="shared" si="5"/>
        <v>0</v>
      </c>
      <c r="V16" s="28">
        <f t="shared" si="5"/>
        <v>3</v>
      </c>
      <c r="W16" s="1">
        <f t="shared" si="5"/>
        <v>3</v>
      </c>
      <c r="AB16" s="2">
        <v>3</v>
      </c>
      <c r="AC16">
        <v>1</v>
      </c>
      <c r="AD16">
        <v>3</v>
      </c>
      <c r="AE16">
        <v>4</v>
      </c>
      <c r="AF16" s="1">
        <v>2</v>
      </c>
      <c r="AG16" s="2">
        <v>4</v>
      </c>
      <c r="AH16">
        <v>3</v>
      </c>
      <c r="AI16">
        <v>3</v>
      </c>
      <c r="AJ16">
        <v>2</v>
      </c>
      <c r="AK16" s="1">
        <v>4</v>
      </c>
      <c r="AL16" s="2">
        <v>4</v>
      </c>
      <c r="AM16">
        <v>4</v>
      </c>
      <c r="AN16">
        <v>3</v>
      </c>
      <c r="AO16">
        <v>4</v>
      </c>
      <c r="AP16" s="1">
        <v>4</v>
      </c>
      <c r="AQ16" s="2">
        <v>4</v>
      </c>
      <c r="AR16">
        <v>3</v>
      </c>
      <c r="AS16" s="1">
        <v>3</v>
      </c>
    </row>
    <row r="17" spans="1:45" x14ac:dyDescent="0.35">
      <c r="B17" s="2">
        <f>B7-1</f>
        <v>4</v>
      </c>
      <c r="C17" s="28">
        <f>C7-1</f>
        <v>4</v>
      </c>
      <c r="D17" s="28">
        <f>D7-1</f>
        <v>2</v>
      </c>
      <c r="E17" s="28">
        <f>E7-1</f>
        <v>4</v>
      </c>
      <c r="F17" s="28">
        <f>F7-1</f>
        <v>3</v>
      </c>
      <c r="G17" s="1">
        <f>G7-1</f>
        <v>3</v>
      </c>
      <c r="H17" s="2">
        <f>H7-1</f>
        <v>1</v>
      </c>
      <c r="I17" s="28">
        <f>I7-1</f>
        <v>4</v>
      </c>
      <c r="J17" s="28">
        <f>J7-1</f>
        <v>2</v>
      </c>
      <c r="K17" s="28">
        <f>K7-1</f>
        <v>2</v>
      </c>
      <c r="L17" s="28">
        <f>L7-1</f>
        <v>3</v>
      </c>
      <c r="M17" s="1">
        <f t="shared" ref="M17" si="6">M7-1</f>
        <v>2</v>
      </c>
      <c r="N17" s="33">
        <f>N7-1</f>
        <v>1</v>
      </c>
      <c r="O17" s="34">
        <f>O7-1</f>
        <v>2</v>
      </c>
      <c r="P17" s="34">
        <f>P7-1</f>
        <v>4</v>
      </c>
      <c r="Q17" s="34">
        <f>Q7-1</f>
        <v>3</v>
      </c>
      <c r="R17" s="34">
        <f t="shared" ref="R17:W17" si="7">R7-1</f>
        <v>2</v>
      </c>
      <c r="S17" s="35">
        <f t="shared" si="7"/>
        <v>3</v>
      </c>
      <c r="T17" s="2">
        <f t="shared" si="7"/>
        <v>4</v>
      </c>
      <c r="U17" s="28">
        <f t="shared" si="7"/>
        <v>2</v>
      </c>
      <c r="V17" s="28">
        <f t="shared" si="7"/>
        <v>4</v>
      </c>
      <c r="W17" s="1">
        <f t="shared" si="7"/>
        <v>3</v>
      </c>
      <c r="AB17" s="2">
        <v>4</v>
      </c>
      <c r="AC17">
        <v>2</v>
      </c>
      <c r="AD17">
        <v>4</v>
      </c>
      <c r="AE17">
        <v>3</v>
      </c>
      <c r="AF17" s="1">
        <v>3</v>
      </c>
      <c r="AG17" s="2">
        <v>1</v>
      </c>
      <c r="AH17">
        <v>2</v>
      </c>
      <c r="AI17">
        <v>2</v>
      </c>
      <c r="AJ17">
        <v>3</v>
      </c>
      <c r="AK17" s="1">
        <v>2</v>
      </c>
      <c r="AL17" s="2">
        <v>1</v>
      </c>
      <c r="AM17">
        <v>4</v>
      </c>
      <c r="AN17">
        <v>3</v>
      </c>
      <c r="AO17">
        <v>2</v>
      </c>
      <c r="AP17" s="1">
        <v>3</v>
      </c>
      <c r="AQ17" s="2">
        <v>4</v>
      </c>
      <c r="AR17">
        <v>4</v>
      </c>
      <c r="AS17" s="1">
        <v>3</v>
      </c>
    </row>
    <row r="18" spans="1:45" x14ac:dyDescent="0.35">
      <c r="B18" s="2">
        <f>5-B8</f>
        <v>3</v>
      </c>
      <c r="C18" s="28">
        <f t="shared" ref="C18:W18" si="8">5-C8</f>
        <v>3</v>
      </c>
      <c r="D18" s="28">
        <f t="shared" si="8"/>
        <v>2</v>
      </c>
      <c r="E18" s="28">
        <f t="shared" si="8"/>
        <v>3</v>
      </c>
      <c r="F18" s="28">
        <f t="shared" si="8"/>
        <v>3</v>
      </c>
      <c r="G18" s="1">
        <f t="shared" si="8"/>
        <v>2</v>
      </c>
      <c r="H18" s="2">
        <f t="shared" si="8"/>
        <v>2</v>
      </c>
      <c r="I18" s="28">
        <f t="shared" si="8"/>
        <v>3</v>
      </c>
      <c r="J18" s="28">
        <f t="shared" si="8"/>
        <v>2</v>
      </c>
      <c r="K18" s="28">
        <f t="shared" si="8"/>
        <v>1</v>
      </c>
      <c r="L18" s="28">
        <f t="shared" si="8"/>
        <v>2</v>
      </c>
      <c r="M18" s="1">
        <f t="shared" ref="M18" si="9">5-M8</f>
        <v>1</v>
      </c>
      <c r="N18" s="33">
        <f t="shared" si="8"/>
        <v>0</v>
      </c>
      <c r="O18" s="34">
        <f t="shared" si="8"/>
        <v>0</v>
      </c>
      <c r="P18" s="34">
        <f t="shared" si="8"/>
        <v>4</v>
      </c>
      <c r="Q18" s="34">
        <f t="shared" si="8"/>
        <v>3</v>
      </c>
      <c r="R18" s="34">
        <f t="shared" si="8"/>
        <v>3</v>
      </c>
      <c r="S18" s="35">
        <f t="shared" si="8"/>
        <v>4</v>
      </c>
      <c r="T18" s="2">
        <f t="shared" si="8"/>
        <v>4</v>
      </c>
      <c r="U18" s="28">
        <f t="shared" si="8"/>
        <v>1</v>
      </c>
      <c r="V18" s="28">
        <f t="shared" si="8"/>
        <v>3</v>
      </c>
      <c r="W18" s="1">
        <f t="shared" si="8"/>
        <v>3</v>
      </c>
      <c r="AB18" s="2">
        <v>3</v>
      </c>
      <c r="AC18">
        <v>2</v>
      </c>
      <c r="AD18">
        <v>3</v>
      </c>
      <c r="AE18">
        <v>3</v>
      </c>
      <c r="AF18" s="1">
        <v>2</v>
      </c>
      <c r="AG18" s="2">
        <v>2</v>
      </c>
      <c r="AH18">
        <v>2</v>
      </c>
      <c r="AI18">
        <v>1</v>
      </c>
      <c r="AJ18">
        <v>2</v>
      </c>
      <c r="AK18" s="1">
        <v>1</v>
      </c>
      <c r="AL18" s="2">
        <v>0</v>
      </c>
      <c r="AM18">
        <v>4</v>
      </c>
      <c r="AN18">
        <v>3</v>
      </c>
      <c r="AO18">
        <v>3</v>
      </c>
      <c r="AP18" s="1">
        <v>4</v>
      </c>
      <c r="AQ18" s="2">
        <v>4</v>
      </c>
      <c r="AR18">
        <v>3</v>
      </c>
      <c r="AS18" s="1">
        <v>3</v>
      </c>
    </row>
    <row r="19" spans="1:45" x14ac:dyDescent="0.35">
      <c r="B19" s="2">
        <f>B9-1</f>
        <v>4</v>
      </c>
      <c r="C19" s="28">
        <f>C9-1</f>
        <v>4</v>
      </c>
      <c r="D19" s="28">
        <f>D9-1</f>
        <v>1</v>
      </c>
      <c r="E19" s="28">
        <f>E9-1</f>
        <v>3</v>
      </c>
      <c r="F19" s="28">
        <f>F9-1</f>
        <v>3</v>
      </c>
      <c r="G19" s="1">
        <f>G9-1</f>
        <v>3</v>
      </c>
      <c r="H19" s="2">
        <f>H9-1</f>
        <v>3</v>
      </c>
      <c r="I19" s="28">
        <f>I9-1</f>
        <v>4</v>
      </c>
      <c r="J19" s="28">
        <f>J9-1</f>
        <v>2</v>
      </c>
      <c r="K19" s="28">
        <f>K9-1</f>
        <v>3</v>
      </c>
      <c r="L19" s="28">
        <f>L9-1</f>
        <v>3</v>
      </c>
      <c r="M19" s="1">
        <f t="shared" ref="M19" si="10">M9-1</f>
        <v>4</v>
      </c>
      <c r="N19" s="33">
        <f>N9-1</f>
        <v>2</v>
      </c>
      <c r="O19" s="34">
        <f>O9-1</f>
        <v>3</v>
      </c>
      <c r="P19" s="34">
        <f>P9-1</f>
        <v>3</v>
      </c>
      <c r="Q19" s="34">
        <f>Q9-1</f>
        <v>3</v>
      </c>
      <c r="R19" s="34">
        <f t="shared" ref="R19:W19" si="11">R9-1</f>
        <v>2</v>
      </c>
      <c r="S19" s="35">
        <f t="shared" si="11"/>
        <v>4</v>
      </c>
      <c r="T19" s="2">
        <f t="shared" si="11"/>
        <v>4</v>
      </c>
      <c r="U19" s="28">
        <f t="shared" si="11"/>
        <v>3</v>
      </c>
      <c r="V19" s="28">
        <f t="shared" si="11"/>
        <v>3</v>
      </c>
      <c r="W19" s="1">
        <f t="shared" si="11"/>
        <v>3</v>
      </c>
      <c r="AB19" s="2">
        <v>4</v>
      </c>
      <c r="AC19">
        <v>1</v>
      </c>
      <c r="AD19">
        <v>3</v>
      </c>
      <c r="AE19">
        <v>3</v>
      </c>
      <c r="AF19" s="1">
        <v>3</v>
      </c>
      <c r="AG19" s="2">
        <v>3</v>
      </c>
      <c r="AH19">
        <v>2</v>
      </c>
      <c r="AI19">
        <v>3</v>
      </c>
      <c r="AJ19">
        <v>3</v>
      </c>
      <c r="AK19" s="1">
        <v>4</v>
      </c>
      <c r="AL19" s="2">
        <v>2</v>
      </c>
      <c r="AM19">
        <v>3</v>
      </c>
      <c r="AN19">
        <v>3</v>
      </c>
      <c r="AO19">
        <v>2</v>
      </c>
      <c r="AP19" s="1">
        <v>4</v>
      </c>
      <c r="AQ19" s="2">
        <v>4</v>
      </c>
      <c r="AR19">
        <v>3</v>
      </c>
      <c r="AS19" s="1">
        <v>3</v>
      </c>
    </row>
    <row r="20" spans="1:45" x14ac:dyDescent="0.35">
      <c r="B20" s="2">
        <f>B10-1</f>
        <v>4</v>
      </c>
      <c r="C20" s="28">
        <f>C10-1</f>
        <v>4</v>
      </c>
      <c r="D20" s="28">
        <f>D10-1</f>
        <v>2</v>
      </c>
      <c r="E20" s="28">
        <f>E10-1</f>
        <v>4</v>
      </c>
      <c r="F20" s="28">
        <f>F10-1</f>
        <v>4</v>
      </c>
      <c r="G20" s="1">
        <f>G10-1</f>
        <v>2</v>
      </c>
      <c r="H20" s="2">
        <f>H10-1</f>
        <v>1</v>
      </c>
      <c r="I20" s="28">
        <f>I10-1</f>
        <v>3</v>
      </c>
      <c r="J20" s="28">
        <f>J10-1</f>
        <v>3</v>
      </c>
      <c r="K20" s="28">
        <f>K10-1</f>
        <v>2</v>
      </c>
      <c r="L20" s="28">
        <f>L10-1</f>
        <v>2</v>
      </c>
      <c r="M20" s="1">
        <f t="shared" ref="M20" si="12">M10-1</f>
        <v>3</v>
      </c>
      <c r="N20" s="33">
        <f>N10-1</f>
        <v>3</v>
      </c>
      <c r="O20" s="34">
        <f>O10-1</f>
        <v>1</v>
      </c>
      <c r="P20" s="34">
        <f>P10-1</f>
        <v>4</v>
      </c>
      <c r="Q20" s="34">
        <f>Q10-1</f>
        <v>3</v>
      </c>
      <c r="R20" s="34">
        <f t="shared" ref="R20:W20" si="13">R10-1</f>
        <v>2</v>
      </c>
      <c r="S20" s="35">
        <f t="shared" si="13"/>
        <v>3</v>
      </c>
      <c r="T20" s="2">
        <f t="shared" si="13"/>
        <v>4</v>
      </c>
      <c r="U20" s="28">
        <f t="shared" si="13"/>
        <v>2</v>
      </c>
      <c r="V20" s="28">
        <f t="shared" si="13"/>
        <v>4</v>
      </c>
      <c r="W20" s="1">
        <f t="shared" si="13"/>
        <v>3</v>
      </c>
      <c r="AB20" s="2">
        <v>4</v>
      </c>
      <c r="AC20">
        <v>2</v>
      </c>
      <c r="AD20">
        <v>4</v>
      </c>
      <c r="AE20">
        <v>4</v>
      </c>
      <c r="AF20" s="1">
        <v>2</v>
      </c>
      <c r="AG20" s="2">
        <v>1</v>
      </c>
      <c r="AH20">
        <v>3</v>
      </c>
      <c r="AI20">
        <v>2</v>
      </c>
      <c r="AJ20">
        <v>2</v>
      </c>
      <c r="AK20" s="1">
        <v>3</v>
      </c>
      <c r="AL20" s="2">
        <v>3</v>
      </c>
      <c r="AM20">
        <v>4</v>
      </c>
      <c r="AN20">
        <v>3</v>
      </c>
      <c r="AO20">
        <v>2</v>
      </c>
      <c r="AP20" s="1">
        <v>3</v>
      </c>
      <c r="AQ20" s="2">
        <v>4</v>
      </c>
      <c r="AR20">
        <v>4</v>
      </c>
      <c r="AS20" s="1">
        <v>3</v>
      </c>
    </row>
    <row r="21" spans="1:45" x14ac:dyDescent="0.35">
      <c r="B21" s="5">
        <f>5-B11</f>
        <v>4</v>
      </c>
      <c r="C21" s="3">
        <f t="shared" ref="C21:W21" si="14">5-C11</f>
        <v>3</v>
      </c>
      <c r="D21" s="3">
        <f t="shared" si="14"/>
        <v>1</v>
      </c>
      <c r="E21" s="3">
        <f t="shared" si="14"/>
        <v>3</v>
      </c>
      <c r="F21" s="3">
        <f t="shared" si="14"/>
        <v>2</v>
      </c>
      <c r="G21" s="4">
        <f t="shared" si="14"/>
        <v>0</v>
      </c>
      <c r="H21" s="5">
        <f t="shared" si="14"/>
        <v>3</v>
      </c>
      <c r="I21" s="3">
        <f t="shared" si="14"/>
        <v>2</v>
      </c>
      <c r="J21" s="3">
        <f t="shared" si="14"/>
        <v>0</v>
      </c>
      <c r="K21" s="3">
        <f t="shared" si="14"/>
        <v>0</v>
      </c>
      <c r="L21" s="3">
        <f t="shared" si="14"/>
        <v>0</v>
      </c>
      <c r="M21" s="4">
        <f t="shared" ref="M21" si="15">5-M11</f>
        <v>1</v>
      </c>
      <c r="N21" s="36">
        <f t="shared" si="14"/>
        <v>1</v>
      </c>
      <c r="O21" s="37">
        <f t="shared" si="14"/>
        <v>0</v>
      </c>
      <c r="P21" s="37">
        <f t="shared" si="14"/>
        <v>4</v>
      </c>
      <c r="Q21" s="37">
        <f t="shared" si="14"/>
        <v>1</v>
      </c>
      <c r="R21" s="37">
        <f t="shared" si="14"/>
        <v>4</v>
      </c>
      <c r="S21" s="38">
        <f t="shared" si="14"/>
        <v>4</v>
      </c>
      <c r="T21" s="5">
        <f t="shared" si="14"/>
        <v>4</v>
      </c>
      <c r="U21" s="3">
        <f t="shared" si="14"/>
        <v>0</v>
      </c>
      <c r="V21" s="3">
        <f t="shared" si="14"/>
        <v>4</v>
      </c>
      <c r="W21" s="4">
        <f t="shared" si="14"/>
        <v>2</v>
      </c>
      <c r="AB21" s="5">
        <v>4</v>
      </c>
      <c r="AC21" s="3">
        <v>1</v>
      </c>
      <c r="AD21" s="3">
        <v>3</v>
      </c>
      <c r="AE21" s="3">
        <v>2</v>
      </c>
      <c r="AF21" s="4">
        <v>0</v>
      </c>
      <c r="AG21" s="5">
        <v>3</v>
      </c>
      <c r="AH21" s="3">
        <v>0</v>
      </c>
      <c r="AI21" s="3">
        <v>0</v>
      </c>
      <c r="AJ21" s="3">
        <v>0</v>
      </c>
      <c r="AK21" s="4">
        <v>1</v>
      </c>
      <c r="AL21" s="5">
        <v>1</v>
      </c>
      <c r="AM21" s="3">
        <v>4</v>
      </c>
      <c r="AN21" s="3">
        <v>1</v>
      </c>
      <c r="AO21" s="3">
        <v>4</v>
      </c>
      <c r="AP21" s="4">
        <v>4</v>
      </c>
      <c r="AQ21" s="5">
        <v>4</v>
      </c>
      <c r="AR21" s="3">
        <v>4</v>
      </c>
      <c r="AS21" s="4">
        <v>2</v>
      </c>
    </row>
    <row r="22" spans="1:45" x14ac:dyDescent="0.35">
      <c r="A22" s="12" t="s">
        <v>56</v>
      </c>
      <c r="B22">
        <f>SUM(B14:B21)</f>
        <v>30</v>
      </c>
      <c r="C22">
        <f t="shared" ref="C22:W22" si="16">SUM(C14:C21)</f>
        <v>29</v>
      </c>
      <c r="D22">
        <f t="shared" si="16"/>
        <v>12</v>
      </c>
      <c r="E22">
        <f t="shared" si="16"/>
        <v>26</v>
      </c>
      <c r="F22">
        <f t="shared" si="16"/>
        <v>25</v>
      </c>
      <c r="G22">
        <f t="shared" si="16"/>
        <v>17</v>
      </c>
      <c r="H22">
        <f t="shared" si="16"/>
        <v>20</v>
      </c>
      <c r="I22">
        <f t="shared" si="16"/>
        <v>25</v>
      </c>
      <c r="J22">
        <f t="shared" si="16"/>
        <v>18</v>
      </c>
      <c r="K22">
        <f t="shared" si="16"/>
        <v>17</v>
      </c>
      <c r="L22">
        <f t="shared" si="16"/>
        <v>17</v>
      </c>
      <c r="M22">
        <f t="shared" ref="M22" si="17">SUM(M14:M21)</f>
        <v>21</v>
      </c>
      <c r="N22">
        <f t="shared" si="16"/>
        <v>17</v>
      </c>
      <c r="O22">
        <f t="shared" si="16"/>
        <v>9</v>
      </c>
      <c r="P22">
        <f t="shared" si="16"/>
        <v>31</v>
      </c>
      <c r="Q22">
        <f t="shared" si="16"/>
        <v>19</v>
      </c>
      <c r="R22">
        <f t="shared" si="16"/>
        <v>23</v>
      </c>
      <c r="S22">
        <f t="shared" si="16"/>
        <v>30</v>
      </c>
      <c r="T22">
        <f t="shared" si="16"/>
        <v>32</v>
      </c>
      <c r="U22">
        <f t="shared" si="16"/>
        <v>12</v>
      </c>
      <c r="V22">
        <f t="shared" si="16"/>
        <v>28</v>
      </c>
      <c r="W22">
        <f t="shared" si="16"/>
        <v>24</v>
      </c>
      <c r="AA22" s="48" t="s">
        <v>56</v>
      </c>
      <c r="AB22">
        <f>SUM(AB14:AB21)</f>
        <v>30</v>
      </c>
      <c r="AC22">
        <f t="shared" ref="AC22:AR22" si="18">SUM(AC14:AC21)</f>
        <v>12</v>
      </c>
      <c r="AD22">
        <f t="shared" si="18"/>
        <v>26</v>
      </c>
      <c r="AE22">
        <f t="shared" si="18"/>
        <v>25</v>
      </c>
      <c r="AF22">
        <f t="shared" si="18"/>
        <v>17</v>
      </c>
      <c r="AG22">
        <f t="shared" si="18"/>
        <v>20</v>
      </c>
      <c r="AH22">
        <f t="shared" si="18"/>
        <v>18</v>
      </c>
      <c r="AI22">
        <f t="shared" si="18"/>
        <v>17</v>
      </c>
      <c r="AJ22">
        <f t="shared" si="18"/>
        <v>17</v>
      </c>
      <c r="AK22">
        <f t="shared" si="18"/>
        <v>21</v>
      </c>
      <c r="AL22">
        <f t="shared" si="18"/>
        <v>17</v>
      </c>
      <c r="AM22">
        <f t="shared" si="18"/>
        <v>31</v>
      </c>
      <c r="AN22">
        <f t="shared" si="18"/>
        <v>19</v>
      </c>
      <c r="AO22">
        <f t="shared" si="18"/>
        <v>23</v>
      </c>
      <c r="AP22">
        <f t="shared" si="18"/>
        <v>30</v>
      </c>
      <c r="AQ22">
        <f t="shared" si="18"/>
        <v>32</v>
      </c>
      <c r="AR22">
        <f t="shared" si="18"/>
        <v>28</v>
      </c>
      <c r="AS22">
        <f>SUM(AS14:AS21)</f>
        <v>24</v>
      </c>
    </row>
    <row r="23" spans="1:45" x14ac:dyDescent="0.35">
      <c r="A23" s="12" t="s">
        <v>55</v>
      </c>
      <c r="B23" s="11">
        <f>B22*3.125</f>
        <v>93.75</v>
      </c>
      <c r="C23" s="11">
        <f t="shared" ref="C23:W23" si="19">C22*3.125</f>
        <v>90.625</v>
      </c>
      <c r="D23" s="11">
        <f t="shared" si="19"/>
        <v>37.5</v>
      </c>
      <c r="E23" s="11">
        <f t="shared" si="19"/>
        <v>81.25</v>
      </c>
      <c r="F23" s="11">
        <f t="shared" si="19"/>
        <v>78.125</v>
      </c>
      <c r="G23" s="11">
        <f t="shared" si="19"/>
        <v>53.125</v>
      </c>
      <c r="H23" s="11">
        <f t="shared" si="19"/>
        <v>62.5</v>
      </c>
      <c r="I23" s="11">
        <f t="shared" si="19"/>
        <v>78.125</v>
      </c>
      <c r="J23" s="11">
        <f t="shared" si="19"/>
        <v>56.25</v>
      </c>
      <c r="K23" s="11">
        <f t="shared" si="19"/>
        <v>53.125</v>
      </c>
      <c r="L23" s="11">
        <f t="shared" si="19"/>
        <v>53.125</v>
      </c>
      <c r="M23" s="11">
        <f t="shared" ref="M23" si="20">M22*3.125</f>
        <v>65.625</v>
      </c>
      <c r="N23" s="11">
        <f t="shared" si="19"/>
        <v>53.125</v>
      </c>
      <c r="O23" s="11">
        <f t="shared" si="19"/>
        <v>28.125</v>
      </c>
      <c r="P23" s="11">
        <f t="shared" si="19"/>
        <v>96.875</v>
      </c>
      <c r="Q23" s="11">
        <f t="shared" si="19"/>
        <v>59.375</v>
      </c>
      <c r="R23" s="11">
        <f t="shared" si="19"/>
        <v>71.875</v>
      </c>
      <c r="S23" s="11">
        <f t="shared" si="19"/>
        <v>93.75</v>
      </c>
      <c r="T23" s="11">
        <f t="shared" si="19"/>
        <v>100</v>
      </c>
      <c r="U23" s="11">
        <f t="shared" si="19"/>
        <v>37.5</v>
      </c>
      <c r="V23" s="11">
        <f t="shared" si="19"/>
        <v>87.5</v>
      </c>
      <c r="W23" s="11">
        <f t="shared" si="19"/>
        <v>75</v>
      </c>
      <c r="AA23" s="48" t="s">
        <v>55</v>
      </c>
      <c r="AB23" s="10">
        <f>AB22*3.125</f>
        <v>93.75</v>
      </c>
      <c r="AC23" s="10">
        <f t="shared" ref="AC23:AS23" si="21">AC22*3.125</f>
        <v>37.5</v>
      </c>
      <c r="AD23" s="10">
        <f t="shared" si="21"/>
        <v>81.25</v>
      </c>
      <c r="AE23" s="10">
        <f t="shared" si="21"/>
        <v>78.125</v>
      </c>
      <c r="AF23" s="10">
        <f t="shared" si="21"/>
        <v>53.125</v>
      </c>
      <c r="AG23" s="10">
        <f t="shared" si="21"/>
        <v>62.5</v>
      </c>
      <c r="AH23" s="10">
        <f t="shared" si="21"/>
        <v>56.25</v>
      </c>
      <c r="AI23" s="10">
        <f t="shared" si="21"/>
        <v>53.125</v>
      </c>
      <c r="AJ23" s="10">
        <f t="shared" si="21"/>
        <v>53.125</v>
      </c>
      <c r="AK23" s="10">
        <f t="shared" si="21"/>
        <v>65.625</v>
      </c>
      <c r="AL23" s="10">
        <f t="shared" si="21"/>
        <v>53.125</v>
      </c>
      <c r="AM23" s="10">
        <f t="shared" si="21"/>
        <v>96.875</v>
      </c>
      <c r="AN23" s="10">
        <f t="shared" si="21"/>
        <v>59.375</v>
      </c>
      <c r="AO23" s="10">
        <f t="shared" si="21"/>
        <v>71.875</v>
      </c>
      <c r="AP23" s="10">
        <f t="shared" si="21"/>
        <v>93.75</v>
      </c>
      <c r="AQ23" s="10">
        <f t="shared" si="21"/>
        <v>100</v>
      </c>
      <c r="AR23" s="10">
        <f t="shared" si="21"/>
        <v>87.5</v>
      </c>
      <c r="AS23" s="10">
        <f t="shared" si="21"/>
        <v>75</v>
      </c>
    </row>
    <row r="24" spans="1:45" x14ac:dyDescent="0.35">
      <c r="A24" s="12" t="s">
        <v>62</v>
      </c>
      <c r="B24" s="18">
        <f>AVERAGE(B23:G23)</f>
        <v>72.395833333333329</v>
      </c>
      <c r="C24" s="17"/>
      <c r="D24" s="17"/>
      <c r="E24" s="17"/>
      <c r="F24" s="17"/>
      <c r="G24" s="17"/>
      <c r="H24" s="18">
        <f>AVERAGE(H23:M23)</f>
        <v>61.458333333333336</v>
      </c>
      <c r="I24" s="18"/>
      <c r="J24" s="18"/>
      <c r="K24" s="18"/>
      <c r="L24" s="18"/>
      <c r="M24" s="18"/>
      <c r="N24" s="18">
        <f>AVERAGE(N23:S23)</f>
        <v>67.1875</v>
      </c>
      <c r="O24" s="17"/>
      <c r="P24" s="17"/>
      <c r="Q24" s="17"/>
      <c r="R24" s="17"/>
      <c r="S24" s="17"/>
      <c r="T24" s="18">
        <f>AVERAGE(T23:W23)</f>
        <v>75</v>
      </c>
      <c r="U24" s="17"/>
      <c r="V24" s="17"/>
      <c r="W24" s="17"/>
      <c r="AA24" s="48" t="s">
        <v>62</v>
      </c>
      <c r="AB24" s="22">
        <f>AVERAGE(AB23:AF23)</f>
        <v>68.75</v>
      </c>
      <c r="AC24" s="22"/>
      <c r="AD24" s="22"/>
      <c r="AE24" s="22"/>
      <c r="AF24" s="22"/>
      <c r="AG24" s="22">
        <f>AVERAGE(AG23:AK23)</f>
        <v>58.125</v>
      </c>
      <c r="AH24" s="22"/>
      <c r="AI24" s="22"/>
      <c r="AJ24" s="22"/>
      <c r="AK24" s="22"/>
      <c r="AL24" s="22">
        <f>AVERAGE(AL23:AP23)</f>
        <v>75</v>
      </c>
      <c r="AM24" s="22"/>
      <c r="AN24" s="22"/>
      <c r="AO24" s="22"/>
      <c r="AP24" s="22"/>
      <c r="AQ24" s="22">
        <f>AVERAGE(AQ23:AS23)</f>
        <v>87.5</v>
      </c>
      <c r="AR24" s="22"/>
      <c r="AS24" s="22"/>
    </row>
    <row r="25" spans="1:45" x14ac:dyDescent="0.35">
      <c r="A25" s="12" t="s">
        <v>57</v>
      </c>
      <c r="B25" s="17">
        <f>_xlfn.STDEV.S(B23:G23)</f>
        <v>22.309669521681993</v>
      </c>
      <c r="C25" s="17"/>
      <c r="D25" s="17"/>
      <c r="E25" s="17"/>
      <c r="F25" s="17"/>
      <c r="G25" s="17"/>
      <c r="H25" s="17">
        <f>_xlfn.STDEV.S(H23:M23)</f>
        <v>9.614983966011927</v>
      </c>
      <c r="I25" s="17"/>
      <c r="J25" s="17"/>
      <c r="K25" s="17"/>
      <c r="L25" s="17"/>
      <c r="M25" s="17"/>
      <c r="N25" s="17">
        <f>_xlfn.STDEV.S(N23:S23)</f>
        <v>26.052081250832916</v>
      </c>
      <c r="O25" s="17"/>
      <c r="P25" s="17"/>
      <c r="Q25" s="17"/>
      <c r="R25" s="17"/>
      <c r="S25" s="17"/>
      <c r="T25" s="17">
        <f>_xlfn.STDEV.S(T23:W23)</f>
        <v>27.003086243366084</v>
      </c>
      <c r="U25" s="17"/>
      <c r="V25" s="17"/>
      <c r="W25" s="17"/>
      <c r="AA25" s="48" t="s">
        <v>57</v>
      </c>
      <c r="AB25" s="22">
        <f>_xlfn.STDEV.S(AB23:AF23)</f>
        <v>22.857404434887176</v>
      </c>
      <c r="AC25" s="22"/>
      <c r="AD25" s="22"/>
      <c r="AE25" s="22"/>
      <c r="AF25" s="22"/>
      <c r="AG25" s="22">
        <f t="shared" ref="AG25" si="22">_xlfn.STDEV.S(AG23:AK23)</f>
        <v>5.6768444139327965</v>
      </c>
      <c r="AH25" s="22"/>
      <c r="AI25" s="22"/>
      <c r="AJ25" s="22"/>
      <c r="AK25" s="22"/>
      <c r="AL25" s="22">
        <f t="shared" ref="AL25" si="23">_xlfn.STDEV.S(AL23:AP23)</f>
        <v>19.764235376052373</v>
      </c>
      <c r="AM25" s="22"/>
      <c r="AN25" s="22"/>
      <c r="AO25" s="22"/>
      <c r="AP25" s="22"/>
      <c r="AQ25" s="22">
        <f>_xlfn.STDEV.S(AQ23:AS23)</f>
        <v>12.5</v>
      </c>
      <c r="AR25" s="22"/>
      <c r="AS25" s="22"/>
    </row>
    <row r="26" spans="1:45" s="42" customFormat="1" x14ac:dyDescent="0.35">
      <c r="A26" s="48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AA26" s="48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</row>
    <row r="27" spans="1:45" ht="16" x14ac:dyDescent="0.4">
      <c r="B27" s="53" t="s">
        <v>65</v>
      </c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</row>
    <row r="28" spans="1:45" x14ac:dyDescent="0.35">
      <c r="B28" s="21" t="s">
        <v>0</v>
      </c>
      <c r="C28" s="19"/>
      <c r="D28" s="19"/>
      <c r="E28" s="19"/>
      <c r="F28" s="19"/>
      <c r="G28" s="20"/>
      <c r="H28" s="21" t="s">
        <v>1</v>
      </c>
      <c r="I28" s="19"/>
      <c r="J28" s="19"/>
      <c r="K28" s="19"/>
      <c r="L28" s="19"/>
      <c r="M28" s="20"/>
      <c r="N28" s="21" t="s">
        <v>2</v>
      </c>
      <c r="O28" s="19"/>
      <c r="P28" s="19"/>
      <c r="Q28" s="19"/>
      <c r="R28" s="19"/>
      <c r="S28" s="20"/>
      <c r="T28" s="21" t="s">
        <v>18</v>
      </c>
      <c r="U28" s="19"/>
      <c r="V28" s="19"/>
      <c r="W28" s="20"/>
      <c r="X28" s="52"/>
      <c r="Y28" s="52"/>
      <c r="Z28" s="51"/>
    </row>
    <row r="29" spans="1:45" x14ac:dyDescent="0.35">
      <c r="A29" s="12" t="s">
        <v>28</v>
      </c>
      <c r="B29" s="44" t="s">
        <v>4</v>
      </c>
      <c r="C29" s="51" t="s">
        <v>5</v>
      </c>
      <c r="D29" s="51" t="s">
        <v>6</v>
      </c>
      <c r="E29" s="51" t="s">
        <v>7</v>
      </c>
      <c r="F29" s="51" t="s">
        <v>8</v>
      </c>
      <c r="G29" s="43" t="s">
        <v>9</v>
      </c>
      <c r="H29" s="44" t="s">
        <v>4</v>
      </c>
      <c r="I29" s="51" t="s">
        <v>5</v>
      </c>
      <c r="J29" s="51" t="s">
        <v>6</v>
      </c>
      <c r="K29" s="51" t="s">
        <v>7</v>
      </c>
      <c r="L29" s="51" t="s">
        <v>8</v>
      </c>
      <c r="M29" s="43" t="s">
        <v>9</v>
      </c>
      <c r="N29" s="44" t="s">
        <v>4</v>
      </c>
      <c r="O29" s="51" t="s">
        <v>5</v>
      </c>
      <c r="P29" s="51" t="s">
        <v>6</v>
      </c>
      <c r="Q29" s="51" t="s">
        <v>7</v>
      </c>
      <c r="R29" s="51" t="s">
        <v>8</v>
      </c>
      <c r="S29" s="43" t="s">
        <v>9</v>
      </c>
      <c r="T29" s="44" t="s">
        <v>4</v>
      </c>
      <c r="U29" s="51" t="s">
        <v>5</v>
      </c>
      <c r="V29" s="51" t="s">
        <v>6</v>
      </c>
      <c r="W29" s="43" t="s">
        <v>9</v>
      </c>
      <c r="X29" s="51"/>
      <c r="Y29" s="51"/>
      <c r="Z29" s="51"/>
    </row>
    <row r="30" spans="1:45" x14ac:dyDescent="0.35">
      <c r="A30" s="8" t="s">
        <v>19</v>
      </c>
      <c r="B30" s="44"/>
      <c r="C30" s="51">
        <v>5</v>
      </c>
      <c r="D30" s="51">
        <v>2</v>
      </c>
      <c r="E30" s="51"/>
      <c r="F30" s="51">
        <v>0</v>
      </c>
      <c r="G30" s="43">
        <v>0</v>
      </c>
      <c r="H30" s="44">
        <v>6</v>
      </c>
      <c r="I30" s="51">
        <v>7</v>
      </c>
      <c r="J30" s="51">
        <v>7</v>
      </c>
      <c r="K30" s="51">
        <v>7</v>
      </c>
      <c r="L30" s="51">
        <v>7</v>
      </c>
      <c r="M30" s="43">
        <v>7</v>
      </c>
      <c r="N30" s="44">
        <v>7</v>
      </c>
      <c r="O30" s="51">
        <v>3</v>
      </c>
      <c r="P30" s="51">
        <v>7</v>
      </c>
      <c r="Q30" s="51">
        <v>6</v>
      </c>
      <c r="R30" s="51">
        <v>6</v>
      </c>
      <c r="S30" s="43">
        <v>7</v>
      </c>
      <c r="T30" s="44">
        <v>0</v>
      </c>
      <c r="U30" s="51">
        <v>6</v>
      </c>
      <c r="V30" s="51">
        <v>4</v>
      </c>
      <c r="W30" s="43">
        <v>0</v>
      </c>
      <c r="X30" s="51"/>
      <c r="Y30" s="51"/>
      <c r="Z30" s="51"/>
    </row>
    <row r="31" spans="1:45" x14ac:dyDescent="0.35">
      <c r="A31" s="8" t="s">
        <v>58</v>
      </c>
      <c r="B31" s="44">
        <v>7</v>
      </c>
      <c r="C31" s="51">
        <v>7</v>
      </c>
      <c r="D31" s="51">
        <v>2</v>
      </c>
      <c r="E31" s="51">
        <v>6</v>
      </c>
      <c r="F31" s="51">
        <v>6</v>
      </c>
      <c r="G31" s="43">
        <v>3</v>
      </c>
      <c r="H31" s="44">
        <v>7</v>
      </c>
      <c r="I31" s="51">
        <v>6</v>
      </c>
      <c r="J31" s="51">
        <v>4</v>
      </c>
      <c r="K31" s="51">
        <v>7</v>
      </c>
      <c r="L31" s="51">
        <v>5</v>
      </c>
      <c r="M31" s="43">
        <v>6</v>
      </c>
      <c r="N31" s="44">
        <v>7</v>
      </c>
      <c r="O31" s="51">
        <v>7</v>
      </c>
      <c r="P31" s="51">
        <v>6</v>
      </c>
      <c r="Q31" s="51">
        <v>1</v>
      </c>
      <c r="R31" s="51">
        <v>6</v>
      </c>
      <c r="S31" s="43">
        <v>7</v>
      </c>
      <c r="T31" s="44">
        <v>7</v>
      </c>
      <c r="U31" s="51">
        <v>6</v>
      </c>
      <c r="V31" s="51">
        <v>5</v>
      </c>
      <c r="W31" s="43">
        <v>6</v>
      </c>
    </row>
    <row r="32" spans="1:45" x14ac:dyDescent="0.35">
      <c r="A32" s="8" t="s">
        <v>21</v>
      </c>
      <c r="B32" s="44">
        <v>7</v>
      </c>
      <c r="C32" s="51">
        <v>7</v>
      </c>
      <c r="D32" s="51">
        <v>6</v>
      </c>
      <c r="E32" s="51">
        <v>7</v>
      </c>
      <c r="F32" s="51">
        <v>6</v>
      </c>
      <c r="G32" s="43">
        <v>7</v>
      </c>
      <c r="H32" s="44"/>
      <c r="I32" s="51"/>
      <c r="J32" s="51"/>
      <c r="K32" s="51"/>
      <c r="L32" s="51"/>
      <c r="M32" s="43"/>
      <c r="N32" s="44">
        <v>6</v>
      </c>
      <c r="O32" s="51">
        <v>6</v>
      </c>
      <c r="P32" s="51">
        <v>7</v>
      </c>
      <c r="Q32" s="51">
        <v>7</v>
      </c>
      <c r="R32" s="51">
        <v>5</v>
      </c>
      <c r="S32" s="43">
        <v>2</v>
      </c>
      <c r="T32" s="44">
        <v>7</v>
      </c>
      <c r="U32" s="51">
        <v>6</v>
      </c>
      <c r="V32" s="51">
        <v>5</v>
      </c>
      <c r="W32" s="43">
        <v>6</v>
      </c>
    </row>
    <row r="33" spans="1:23" x14ac:dyDescent="0.35">
      <c r="A33" s="8" t="s">
        <v>22</v>
      </c>
      <c r="B33" s="44">
        <v>6</v>
      </c>
      <c r="C33" s="51">
        <v>5</v>
      </c>
      <c r="D33" s="51">
        <v>6</v>
      </c>
      <c r="E33" s="51">
        <v>4</v>
      </c>
      <c r="F33" s="51">
        <v>5</v>
      </c>
      <c r="G33" s="43">
        <v>4</v>
      </c>
      <c r="H33" s="44">
        <v>6</v>
      </c>
      <c r="I33" s="51">
        <v>5</v>
      </c>
      <c r="J33" s="51">
        <v>5</v>
      </c>
      <c r="K33" s="51">
        <v>1</v>
      </c>
      <c r="L33" s="51">
        <v>5</v>
      </c>
      <c r="M33" s="43">
        <v>7</v>
      </c>
      <c r="N33" s="44">
        <v>6</v>
      </c>
      <c r="O33" s="51">
        <v>5</v>
      </c>
      <c r="P33" s="51">
        <v>7</v>
      </c>
      <c r="Q33" s="51">
        <v>5</v>
      </c>
      <c r="R33" s="51">
        <v>7</v>
      </c>
      <c r="S33" s="43">
        <v>7</v>
      </c>
      <c r="T33" s="44">
        <v>7</v>
      </c>
      <c r="U33" s="51">
        <v>7</v>
      </c>
      <c r="V33" s="51">
        <v>4</v>
      </c>
      <c r="W33" s="43">
        <v>7</v>
      </c>
    </row>
    <row r="34" spans="1:23" x14ac:dyDescent="0.35">
      <c r="A34" s="8" t="s">
        <v>23</v>
      </c>
      <c r="B34" s="44">
        <v>5</v>
      </c>
      <c r="C34" s="51">
        <v>6</v>
      </c>
      <c r="D34" s="51">
        <v>6</v>
      </c>
      <c r="E34" s="51">
        <v>7</v>
      </c>
      <c r="F34" s="51">
        <v>6</v>
      </c>
      <c r="G34" s="43">
        <v>7</v>
      </c>
      <c r="H34" s="44">
        <v>4</v>
      </c>
      <c r="I34" s="51">
        <v>7</v>
      </c>
      <c r="J34" s="51">
        <v>6</v>
      </c>
      <c r="K34" s="51">
        <v>1</v>
      </c>
      <c r="L34" s="51">
        <v>1</v>
      </c>
      <c r="M34" s="43">
        <v>3</v>
      </c>
      <c r="N34" s="44">
        <v>7</v>
      </c>
      <c r="O34" s="51">
        <v>6</v>
      </c>
      <c r="P34" s="51">
        <v>7</v>
      </c>
      <c r="Q34" s="51">
        <v>7</v>
      </c>
      <c r="R34" s="51">
        <v>7</v>
      </c>
      <c r="S34" s="43">
        <v>1</v>
      </c>
      <c r="T34" s="44">
        <v>6</v>
      </c>
      <c r="U34" s="51">
        <v>3</v>
      </c>
      <c r="V34" s="51">
        <v>5</v>
      </c>
      <c r="W34" s="43">
        <v>5</v>
      </c>
    </row>
    <row r="35" spans="1:23" x14ac:dyDescent="0.35">
      <c r="A35" s="8" t="s">
        <v>24</v>
      </c>
      <c r="B35" s="44">
        <v>7</v>
      </c>
      <c r="C35" s="51">
        <v>7</v>
      </c>
      <c r="D35" s="51">
        <v>5</v>
      </c>
      <c r="E35" s="51">
        <v>7</v>
      </c>
      <c r="F35" s="51">
        <v>4</v>
      </c>
      <c r="G35" s="43">
        <v>5</v>
      </c>
      <c r="H35" s="44">
        <v>3</v>
      </c>
      <c r="I35" s="51">
        <v>4</v>
      </c>
      <c r="J35" s="51">
        <v>6</v>
      </c>
      <c r="K35" s="51">
        <v>3</v>
      </c>
      <c r="L35" s="51">
        <v>5</v>
      </c>
      <c r="M35" s="43">
        <v>3</v>
      </c>
      <c r="N35" s="44">
        <v>6</v>
      </c>
      <c r="O35" s="51">
        <v>7</v>
      </c>
      <c r="P35" s="51">
        <v>7</v>
      </c>
      <c r="Q35" s="51">
        <v>6</v>
      </c>
      <c r="R35" s="51">
        <v>7</v>
      </c>
      <c r="S35" s="43">
        <v>6</v>
      </c>
      <c r="T35" s="44">
        <v>7</v>
      </c>
      <c r="U35" s="51">
        <v>5</v>
      </c>
      <c r="V35" s="51">
        <v>6</v>
      </c>
      <c r="W35" s="43">
        <v>6</v>
      </c>
    </row>
    <row r="36" spans="1:23" x14ac:dyDescent="0.35">
      <c r="A36" s="8" t="s">
        <v>25</v>
      </c>
      <c r="B36" s="44">
        <v>7</v>
      </c>
      <c r="C36" s="51">
        <v>7</v>
      </c>
      <c r="D36" s="51">
        <v>7</v>
      </c>
      <c r="E36" s="51">
        <v>7</v>
      </c>
      <c r="F36" s="51">
        <v>6</v>
      </c>
      <c r="G36" s="43">
        <v>7</v>
      </c>
      <c r="H36" s="44">
        <v>1</v>
      </c>
      <c r="I36" s="51">
        <v>1</v>
      </c>
      <c r="J36" s="51">
        <v>6</v>
      </c>
      <c r="K36" s="51">
        <v>1</v>
      </c>
      <c r="L36" s="51">
        <v>2</v>
      </c>
      <c r="M36" s="43">
        <v>2</v>
      </c>
      <c r="N36" s="44">
        <v>6</v>
      </c>
      <c r="O36" s="51">
        <v>7</v>
      </c>
      <c r="P36" s="51">
        <v>7</v>
      </c>
      <c r="Q36" s="51">
        <v>7</v>
      </c>
      <c r="R36" s="51">
        <v>6</v>
      </c>
      <c r="S36" s="43">
        <v>7</v>
      </c>
      <c r="T36" s="44">
        <v>5</v>
      </c>
      <c r="U36" s="51">
        <v>6</v>
      </c>
      <c r="V36" s="51">
        <v>6</v>
      </c>
      <c r="W36" s="43">
        <v>6</v>
      </c>
    </row>
    <row r="37" spans="1:23" x14ac:dyDescent="0.35">
      <c r="A37" s="8" t="s">
        <v>26</v>
      </c>
      <c r="B37" s="47">
        <v>7</v>
      </c>
      <c r="C37" s="45">
        <v>5</v>
      </c>
      <c r="D37" s="45">
        <v>3</v>
      </c>
      <c r="E37" s="45">
        <v>6</v>
      </c>
      <c r="F37" s="45">
        <v>5</v>
      </c>
      <c r="G37" s="46">
        <v>4</v>
      </c>
      <c r="H37" s="47">
        <v>7</v>
      </c>
      <c r="I37" s="45">
        <v>3</v>
      </c>
      <c r="J37" s="45">
        <v>6</v>
      </c>
      <c r="K37" s="45">
        <v>6</v>
      </c>
      <c r="L37" s="45">
        <v>4</v>
      </c>
      <c r="M37" s="46">
        <v>5</v>
      </c>
      <c r="N37" s="47">
        <v>4</v>
      </c>
      <c r="O37" s="45">
        <v>2</v>
      </c>
      <c r="P37" s="45">
        <v>6</v>
      </c>
      <c r="Q37" s="45">
        <v>4</v>
      </c>
      <c r="R37" s="45">
        <v>4</v>
      </c>
      <c r="S37" s="46">
        <v>6</v>
      </c>
      <c r="T37" s="47">
        <v>6</v>
      </c>
      <c r="U37" s="45">
        <v>4</v>
      </c>
      <c r="V37" s="45">
        <v>5</v>
      </c>
      <c r="W37" s="46">
        <v>5</v>
      </c>
    </row>
    <row r="40" spans="1:23" x14ac:dyDescent="0.35">
      <c r="B40" s="16" t="s">
        <v>53</v>
      </c>
      <c r="C40" s="16"/>
      <c r="D40" s="16"/>
      <c r="E40" s="16"/>
      <c r="G40" s="16" t="s">
        <v>54</v>
      </c>
      <c r="H40" s="16"/>
      <c r="I40" s="16"/>
      <c r="J40" s="16"/>
    </row>
    <row r="41" spans="1:23" x14ac:dyDescent="0.35">
      <c r="B41" t="s">
        <v>0</v>
      </c>
      <c r="C41" t="s">
        <v>1</v>
      </c>
      <c r="D41" t="s">
        <v>27</v>
      </c>
      <c r="E41" t="s">
        <v>3</v>
      </c>
      <c r="G41" t="s">
        <v>0</v>
      </c>
      <c r="H41" t="s">
        <v>1</v>
      </c>
      <c r="I41" t="s">
        <v>27</v>
      </c>
      <c r="J41" t="s">
        <v>3</v>
      </c>
    </row>
    <row r="42" spans="1:23" x14ac:dyDescent="0.35">
      <c r="A42" s="9" t="s">
        <v>19</v>
      </c>
      <c r="C42">
        <f>AVERAGE(H30:M30)</f>
        <v>6.833333333333333</v>
      </c>
      <c r="D42" s="11">
        <f>AVERAGE(N31:S31)</f>
        <v>5.666666666666667</v>
      </c>
      <c r="G42" s="10">
        <f t="shared" ref="G42:G48" si="24">STDEV(B30:G30)</f>
        <v>2.3629078131263039</v>
      </c>
      <c r="H42" s="10">
        <f>STDEV(H30:M30)</f>
        <v>0.40824829046386302</v>
      </c>
      <c r="I42" s="10">
        <f t="shared" ref="I42:I48" si="25">STDEV(N30:S30)</f>
        <v>1.5491933384829668</v>
      </c>
      <c r="J42" s="10">
        <f t="shared" ref="J42:J48" si="26">STDEV(T30:W30)</f>
        <v>3</v>
      </c>
    </row>
    <row r="43" spans="1:23" x14ac:dyDescent="0.35">
      <c r="A43" s="9" t="s">
        <v>20</v>
      </c>
      <c r="B43" s="11">
        <f>AVERAGE(B31:G31)</f>
        <v>5.166666666666667</v>
      </c>
      <c r="C43">
        <f t="shared" ref="C43:C49" si="27">AVERAGE(H31:M31)</f>
        <v>5.833333333333333</v>
      </c>
      <c r="D43">
        <f>AVERAGE(N32:S32)</f>
        <v>5.5</v>
      </c>
      <c r="E43">
        <f>AVERAGE(T31:W31)</f>
        <v>6</v>
      </c>
      <c r="G43" s="10">
        <f t="shared" si="24"/>
        <v>2.1369760566432814</v>
      </c>
      <c r="H43" s="10">
        <f>STDEV(H31:M31)</f>
        <v>1.1690451944500129</v>
      </c>
      <c r="I43" s="10">
        <f t="shared" si="25"/>
        <v>2.3380903889000249</v>
      </c>
      <c r="J43" s="10">
        <f t="shared" si="26"/>
        <v>0.81649658092772603</v>
      </c>
    </row>
    <row r="44" spans="1:23" x14ac:dyDescent="0.35">
      <c r="A44" s="9" t="s">
        <v>21</v>
      </c>
      <c r="B44" s="11">
        <f>AVERAGE(B32:G32)</f>
        <v>6.666666666666667</v>
      </c>
      <c r="D44">
        <f>AVERAGE(N32:S32)</f>
        <v>5.5</v>
      </c>
      <c r="E44">
        <f>AVERAGE(T32:W32)</f>
        <v>6</v>
      </c>
      <c r="G44" s="10">
        <f t="shared" si="24"/>
        <v>0.51639777949432231</v>
      </c>
      <c r="H44" s="10"/>
      <c r="I44" s="10">
        <f t="shared" si="25"/>
        <v>1.8708286933869707</v>
      </c>
      <c r="J44" s="10">
        <f t="shared" si="26"/>
        <v>0.81649658092772603</v>
      </c>
    </row>
    <row r="45" spans="1:23" x14ac:dyDescent="0.35">
      <c r="A45" s="9" t="s">
        <v>22</v>
      </c>
      <c r="B45">
        <f>AVERAGE(B33:G33)</f>
        <v>5</v>
      </c>
      <c r="C45">
        <f t="shared" si="27"/>
        <v>4.833333333333333</v>
      </c>
      <c r="D45" s="11">
        <f>AVERAGE(N33:S33)</f>
        <v>6.166666666666667</v>
      </c>
      <c r="E45" s="11">
        <f>AVERAGE(T33:W33)</f>
        <v>6.25</v>
      </c>
      <c r="G45" s="10">
        <f t="shared" si="24"/>
        <v>0.89442719099991586</v>
      </c>
      <c r="H45" s="10">
        <f t="shared" ref="H45:H49" si="28">STDEV(H33:M33)</f>
        <v>2.0412414523193156</v>
      </c>
      <c r="I45" s="10">
        <f t="shared" si="25"/>
        <v>0.98319208025017601</v>
      </c>
      <c r="J45" s="10">
        <f t="shared" si="26"/>
        <v>1.5</v>
      </c>
    </row>
    <row r="46" spans="1:23" x14ac:dyDescent="0.35">
      <c r="A46" s="9" t="s">
        <v>23</v>
      </c>
      <c r="B46" s="11">
        <f>AVERAGE(B34:G34)</f>
        <v>6.166666666666667</v>
      </c>
      <c r="C46">
        <f t="shared" si="27"/>
        <v>3.6666666666666665</v>
      </c>
      <c r="D46" s="11">
        <f>AVERAGE(N34:S34)</f>
        <v>5.833333333333333</v>
      </c>
      <c r="E46" s="11">
        <f>AVERAGEA(T34:W34)</f>
        <v>4.75</v>
      </c>
      <c r="G46" s="10">
        <f t="shared" si="24"/>
        <v>0.75277265270908222</v>
      </c>
      <c r="H46" s="10">
        <f t="shared" si="28"/>
        <v>2.503331114069145</v>
      </c>
      <c r="I46" s="10">
        <f t="shared" si="25"/>
        <v>2.4013884872437172</v>
      </c>
      <c r="J46" s="10">
        <f t="shared" si="26"/>
        <v>1.2583057392117916</v>
      </c>
    </row>
    <row r="47" spans="1:23" x14ac:dyDescent="0.35">
      <c r="A47" s="9" t="s">
        <v>24</v>
      </c>
      <c r="B47" s="11">
        <f>AVERAGE(B35:G35)</f>
        <v>5.833333333333333</v>
      </c>
      <c r="C47">
        <f t="shared" si="27"/>
        <v>4</v>
      </c>
      <c r="D47">
        <f t="shared" ref="D47:D49" si="29">AVERAGE(N35:S35)</f>
        <v>6.5</v>
      </c>
      <c r="E47">
        <f t="shared" ref="E47:E49" si="30">AVERAGEA(T35:W35)</f>
        <v>6</v>
      </c>
      <c r="G47" s="10">
        <f t="shared" si="24"/>
        <v>1.3291601358251264</v>
      </c>
      <c r="H47" s="10">
        <f t="shared" si="28"/>
        <v>1.2649110640673518</v>
      </c>
      <c r="I47" s="10">
        <f t="shared" si="25"/>
        <v>0.54772255750516607</v>
      </c>
      <c r="J47" s="10">
        <f t="shared" si="26"/>
        <v>0.81649658092772603</v>
      </c>
    </row>
    <row r="48" spans="1:23" x14ac:dyDescent="0.35">
      <c r="A48" s="9" t="s">
        <v>25</v>
      </c>
      <c r="B48" s="11">
        <f t="shared" ref="B48:B49" si="31">AVERAGE(B36:G36)</f>
        <v>6.833333333333333</v>
      </c>
      <c r="C48">
        <f t="shared" si="27"/>
        <v>2.1666666666666665</v>
      </c>
      <c r="D48" s="11">
        <f t="shared" si="29"/>
        <v>6.666666666666667</v>
      </c>
      <c r="E48" s="11">
        <f t="shared" si="30"/>
        <v>5.75</v>
      </c>
      <c r="G48" s="10">
        <f t="shared" si="24"/>
        <v>0.40824829046386302</v>
      </c>
      <c r="H48" s="10">
        <f t="shared" si="28"/>
        <v>1.9407902170679516</v>
      </c>
      <c r="I48" s="10">
        <f t="shared" si="25"/>
        <v>0.51639777949432231</v>
      </c>
      <c r="J48" s="10">
        <f t="shared" si="26"/>
        <v>0.5</v>
      </c>
    </row>
    <row r="49" spans="1:10" x14ac:dyDescent="0.35">
      <c r="A49" s="9" t="s">
        <v>26</v>
      </c>
      <c r="B49">
        <f t="shared" si="31"/>
        <v>5</v>
      </c>
      <c r="C49">
        <f t="shared" si="27"/>
        <v>5.166666666666667</v>
      </c>
      <c r="D49" s="11">
        <f t="shared" si="29"/>
        <v>4.333333333333333</v>
      </c>
      <c r="E49">
        <f t="shared" si="30"/>
        <v>5</v>
      </c>
      <c r="G49" s="10">
        <f>STDEV(B37:G37)</f>
        <v>1.4142135623730951</v>
      </c>
      <c r="H49" s="10">
        <f t="shared" si="28"/>
        <v>1.4719601443879753</v>
      </c>
      <c r="I49" s="10">
        <f>STDEV(N37:S37)</f>
        <v>1.5055453054181618</v>
      </c>
      <c r="J49" s="10">
        <f>STDEV(T37:W37)</f>
        <v>0.81649658092772603</v>
      </c>
    </row>
    <row r="50" spans="1:10" x14ac:dyDescent="0.35">
      <c r="B50" s="11">
        <f>AVERAGE(B43:B49)</f>
        <v>5.8095238095238102</v>
      </c>
      <c r="C50" s="11">
        <f>AVERAGE(C42:C49)</f>
        <v>4.6428571428571432</v>
      </c>
      <c r="D50" s="11">
        <f>AVERAGE(D42:D49)</f>
        <v>5.7708333333333339</v>
      </c>
      <c r="E50" s="11">
        <f t="shared" ref="E50" si="32">AVERAGE(E43:E49)</f>
        <v>5.6785714285714288</v>
      </c>
    </row>
    <row r="54" spans="1:10" x14ac:dyDescent="0.35">
      <c r="E54" s="7"/>
      <c r="G54" s="7"/>
      <c r="H54" s="7"/>
      <c r="I54" s="7"/>
    </row>
    <row r="55" spans="1:10" x14ac:dyDescent="0.35">
      <c r="E55" s="7"/>
      <c r="G55" s="7"/>
      <c r="H55" s="7"/>
      <c r="I55" s="7"/>
    </row>
    <row r="56" spans="1:10" x14ac:dyDescent="0.35">
      <c r="E56" s="7"/>
      <c r="G56" s="7"/>
      <c r="H56" s="7"/>
      <c r="I56" s="7"/>
    </row>
    <row r="57" spans="1:10" x14ac:dyDescent="0.35">
      <c r="E57" s="7"/>
      <c r="G57" s="7"/>
      <c r="H57" s="7"/>
      <c r="I57" s="7"/>
    </row>
    <row r="58" spans="1:10" x14ac:dyDescent="0.35">
      <c r="E58" s="7"/>
      <c r="G58" s="7"/>
      <c r="H58" s="7"/>
      <c r="I58" s="7"/>
    </row>
    <row r="59" spans="1:10" x14ac:dyDescent="0.35">
      <c r="E59" s="7"/>
      <c r="G59" s="7"/>
      <c r="H59" s="7"/>
      <c r="I59" s="7"/>
    </row>
    <row r="60" spans="1:10" x14ac:dyDescent="0.35">
      <c r="E60" s="7"/>
      <c r="G60" s="7"/>
      <c r="H60" s="7"/>
      <c r="I60" s="7"/>
    </row>
  </sheetData>
  <mergeCells count="38">
    <mergeCell ref="AB12:AF12"/>
    <mergeCell ref="AG12:AK12"/>
    <mergeCell ref="AL12:AP12"/>
    <mergeCell ref="AQ12:AS12"/>
    <mergeCell ref="T28:W28"/>
    <mergeCell ref="B27:W27"/>
    <mergeCell ref="AB11:AS11"/>
    <mergeCell ref="AB24:AF24"/>
    <mergeCell ref="AG24:AK24"/>
    <mergeCell ref="AL24:AP24"/>
    <mergeCell ref="AQ24:AS24"/>
    <mergeCell ref="AB25:AF25"/>
    <mergeCell ref="AG25:AK25"/>
    <mergeCell ref="AL25:AP25"/>
    <mergeCell ref="AQ25:AS25"/>
    <mergeCell ref="B13:G13"/>
    <mergeCell ref="H13:M13"/>
    <mergeCell ref="N13:S13"/>
    <mergeCell ref="T2:W2"/>
    <mergeCell ref="T13:W13"/>
    <mergeCell ref="B12:W12"/>
    <mergeCell ref="B1:W1"/>
    <mergeCell ref="B2:G2"/>
    <mergeCell ref="H2:M2"/>
    <mergeCell ref="N2:S2"/>
    <mergeCell ref="H24:M24"/>
    <mergeCell ref="H25:M25"/>
    <mergeCell ref="T24:W24"/>
    <mergeCell ref="B25:G25"/>
    <mergeCell ref="N25:S25"/>
    <mergeCell ref="T25:W25"/>
    <mergeCell ref="B40:E40"/>
    <mergeCell ref="G40:J40"/>
    <mergeCell ref="B24:G24"/>
    <mergeCell ref="N24:S24"/>
    <mergeCell ref="B28:G28"/>
    <mergeCell ref="H28:M28"/>
    <mergeCell ref="N28:S28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E66C1-72F6-4D9A-9889-8D0500A809CB}">
  <dimension ref="A1:G8"/>
  <sheetViews>
    <sheetView zoomScale="67" workbookViewId="0">
      <selection activeCell="G18" sqref="G18"/>
    </sheetView>
  </sheetViews>
  <sheetFormatPr defaultRowHeight="14.5" x14ac:dyDescent="0.35"/>
  <cols>
    <col min="1" max="1" width="19.81640625" customWidth="1"/>
    <col min="2" max="2" width="10.6328125" customWidth="1"/>
    <col min="3" max="3" width="16.08984375" customWidth="1"/>
    <col min="4" max="4" width="15" customWidth="1"/>
    <col min="5" max="5" width="20.08984375" customWidth="1"/>
    <col min="6" max="6" width="18.6328125" customWidth="1"/>
    <col min="7" max="7" width="23" customWidth="1"/>
  </cols>
  <sheetData>
    <row r="1" spans="1:7" ht="18.5" x14ac:dyDescent="0.45">
      <c r="A1" s="23" t="s">
        <v>60</v>
      </c>
      <c r="B1" s="23"/>
      <c r="C1" s="23"/>
      <c r="D1" s="23"/>
      <c r="E1" s="23"/>
      <c r="F1" s="23"/>
      <c r="G1" s="23"/>
    </row>
    <row r="2" spans="1:7" s="24" customFormat="1" ht="33.5" customHeight="1" x14ac:dyDescent="0.35">
      <c r="A2" s="25"/>
      <c r="B2" s="25" t="s">
        <v>29</v>
      </c>
      <c r="C2" s="26" t="s">
        <v>33</v>
      </c>
      <c r="D2" s="25" t="s">
        <v>35</v>
      </c>
      <c r="E2" s="26" t="s">
        <v>36</v>
      </c>
      <c r="F2" s="26" t="s">
        <v>39</v>
      </c>
      <c r="G2" s="26" t="s">
        <v>48</v>
      </c>
    </row>
    <row r="3" spans="1:7" x14ac:dyDescent="0.35">
      <c r="A3" s="27" t="s">
        <v>4</v>
      </c>
      <c r="B3" t="s">
        <v>30</v>
      </c>
      <c r="C3" s="7" t="s">
        <v>32</v>
      </c>
      <c r="D3" t="s">
        <v>37</v>
      </c>
      <c r="E3" s="7" t="s">
        <v>42</v>
      </c>
      <c r="F3" s="7" t="s">
        <v>61</v>
      </c>
      <c r="G3" s="7" t="s">
        <v>49</v>
      </c>
    </row>
    <row r="4" spans="1:7" x14ac:dyDescent="0.35">
      <c r="A4" s="27" t="s">
        <v>5</v>
      </c>
      <c r="B4" t="s">
        <v>31</v>
      </c>
      <c r="C4" s="7" t="s">
        <v>32</v>
      </c>
      <c r="D4" t="s">
        <v>38</v>
      </c>
      <c r="E4" s="7" t="s">
        <v>46</v>
      </c>
      <c r="F4" s="7" t="s">
        <v>40</v>
      </c>
      <c r="G4" s="7" t="s">
        <v>52</v>
      </c>
    </row>
    <row r="5" spans="1:7" x14ac:dyDescent="0.35">
      <c r="A5" s="27" t="s">
        <v>6</v>
      </c>
      <c r="B5" t="s">
        <v>31</v>
      </c>
      <c r="C5" s="7" t="s">
        <v>34</v>
      </c>
      <c r="D5" t="s">
        <v>37</v>
      </c>
      <c r="E5" s="7" t="s">
        <v>43</v>
      </c>
      <c r="F5" s="7" t="s">
        <v>41</v>
      </c>
      <c r="G5" s="7" t="s">
        <v>50</v>
      </c>
    </row>
    <row r="6" spans="1:7" x14ac:dyDescent="0.35">
      <c r="A6" s="27" t="s">
        <v>7</v>
      </c>
      <c r="B6" t="s">
        <v>30</v>
      </c>
      <c r="C6" s="7" t="s">
        <v>32</v>
      </c>
      <c r="D6" t="s">
        <v>37</v>
      </c>
      <c r="E6" s="7" t="s">
        <v>45</v>
      </c>
      <c r="F6" s="7" t="s">
        <v>61</v>
      </c>
      <c r="G6" s="7" t="s">
        <v>51</v>
      </c>
    </row>
    <row r="7" spans="1:7" x14ac:dyDescent="0.35">
      <c r="A7" s="27" t="s">
        <v>8</v>
      </c>
      <c r="B7" t="s">
        <v>31</v>
      </c>
      <c r="C7" s="7" t="s">
        <v>34</v>
      </c>
      <c r="D7" t="s">
        <v>37</v>
      </c>
      <c r="E7" s="7" t="s">
        <v>44</v>
      </c>
      <c r="F7" s="7" t="s">
        <v>61</v>
      </c>
      <c r="G7" s="7" t="s">
        <v>51</v>
      </c>
    </row>
    <row r="8" spans="1:7" x14ac:dyDescent="0.35">
      <c r="A8" s="27" t="s">
        <v>9</v>
      </c>
      <c r="B8" t="s">
        <v>30</v>
      </c>
      <c r="C8" s="7" t="s">
        <v>32</v>
      </c>
      <c r="D8" t="s">
        <v>37</v>
      </c>
      <c r="E8" s="7" t="s">
        <v>47</v>
      </c>
      <c r="F8" s="7" t="s">
        <v>61</v>
      </c>
      <c r="G8" s="7" t="s">
        <v>51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 calculations</vt:lpstr>
      <vt:lpstr>Participants'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София Шуляк</dc:creator>
  <cp:lastModifiedBy>София Шуляк</cp:lastModifiedBy>
  <dcterms:created xsi:type="dcterms:W3CDTF">2026-04-28T19:36:00Z</dcterms:created>
  <dcterms:modified xsi:type="dcterms:W3CDTF">2026-05-01T23:30:43Z</dcterms:modified>
</cp:coreProperties>
</file>